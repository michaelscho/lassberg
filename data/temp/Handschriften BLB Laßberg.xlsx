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  <sheet state="visible" name="HSP-Abzug" sheetId="2" r:id="rId6"/>
    <sheet state="visible" name="HSP-Abzug 2" sheetId="3" r:id="rId7"/>
  </sheets>
  <definedNames/>
  <calcPr/>
</workbook>
</file>

<file path=xl/sharedStrings.xml><?xml version="1.0" encoding="utf-8"?>
<sst xmlns="http://schemas.openxmlformats.org/spreadsheetml/2006/main" count="5825" uniqueCount="1506">
  <si>
    <t>Signatur</t>
  </si>
  <si>
    <t>Besitzende Einrichtung</t>
  </si>
  <si>
    <t>Ort</t>
  </si>
  <si>
    <t>Status</t>
  </si>
  <si>
    <t>HSP Publikationsdatum</t>
  </si>
  <si>
    <t>Beschreibungsautor:in</t>
  </si>
  <si>
    <t>HSP-ID-Beschreibung</t>
  </si>
  <si>
    <t>Sortierschlüssel</t>
  </si>
  <si>
    <t>HSP-ID-Kulturobjekt</t>
  </si>
  <si>
    <t>HSP-PURL</t>
  </si>
  <si>
    <t>Letzte Änderung</t>
  </si>
  <si>
    <t>Erstellungsdatum</t>
  </si>
  <si>
    <t>Mit Beschreibungen</t>
  </si>
  <si>
    <t>Verwaltungstyp</t>
  </si>
  <si>
    <t>Mit Digitalisat</t>
  </si>
  <si>
    <t>Aus gedrucktem Katalog</t>
  </si>
  <si>
    <t>Katalog ID</t>
  </si>
  <si>
    <t>Bearbeiter</t>
  </si>
  <si>
    <t>GND-ID</t>
  </si>
  <si>
    <t>Cod. Donaueschingen 112</t>
  </si>
  <si>
    <t>Registrierungsdatum</t>
  </si>
  <si>
    <t>PURL</t>
  </si>
  <si>
    <t>Badische Landesbibliothek</t>
  </si>
  <si>
    <t>Karlsruhe</t>
  </si>
  <si>
    <t>Kerndaten befüllt</t>
  </si>
  <si>
    <t>publiziert</t>
  </si>
  <si>
    <t>Eichenberger, Nicole</t>
  </si>
  <si>
    <t>HSP-aec3d7af-3a62-3dd1-bca8-625a79aea451</t>
  </si>
  <si>
    <t>HSP-d1621618-141f-314e-b596-d50703f7bb42</t>
  </si>
  <si>
    <t>https://resolver.staatsbibliothek-berlin.de/HSP00062F4C00000000</t>
  </si>
  <si>
    <t>Cod. Donaueschingen 100</t>
  </si>
  <si>
    <t>JA</t>
  </si>
  <si>
    <t>HSP-2af49c90-bf93-3042-b68d-1ac59f7faefd</t>
  </si>
  <si>
    <t>HSP-080628d4-b0cd-3aa5-8b6f-b702ce608bf7</t>
  </si>
  <si>
    <t>https://resolver.staatsbibliothek-berlin.de/HSP0005398000000000</t>
  </si>
  <si>
    <t>EXTERN</t>
  </si>
  <si>
    <t>nein</t>
  </si>
  <si>
    <t>-</t>
  </si>
  <si>
    <t>Cod. Donaueschingen 116</t>
  </si>
  <si>
    <t>HSP-3d089ce7-6ef5-37e1-9134-51536f5b633e</t>
  </si>
  <si>
    <t>HSP-c7be4edd-9935-3942-a1ba-615bd68da72a</t>
  </si>
  <si>
    <t>https://resolver.staatsbibliothek-berlin.de/HSP00062F4D00000000</t>
  </si>
  <si>
    <t>AUTOMATISCH</t>
  </si>
  <si>
    <t>Cod. Donaueschingen 101</t>
  </si>
  <si>
    <t>HSP-9595b803-f48f-3c82-b6f2-8332c772cb0d</t>
  </si>
  <si>
    <t>HSP-64fb7e18-e85d-3a8f-bc70-96578dc81061</t>
  </si>
  <si>
    <t>https://resolver.staatsbibliothek-berlin.de/HSP0005398100000000</t>
  </si>
  <si>
    <t>Cod. Donaueschingen 142</t>
  </si>
  <si>
    <t>org.apache.myfaces.view.facelets.component.UIRepeat@2db32431</t>
  </si>
  <si>
    <t>HSP-c5104235-a720-3ff6-9eac-6e04ec765315</t>
  </si>
  <si>
    <t>Nr.</t>
  </si>
  <si>
    <t>HSP-9bf09489-f82c-377a-9ca0-88fe0aaae195</t>
  </si>
  <si>
    <t>https://resolver.staatsbibliothek-berlin.de/HSP00062F4F00000000</t>
  </si>
  <si>
    <t>Cod. Donaueschingen 102</t>
  </si>
  <si>
    <t>HSP-b62c17d8-bb06-3d10-adbc-fccfe9d83e07</t>
  </si>
  <si>
    <t>Cod. Donaueschingen 115</t>
  </si>
  <si>
    <t>HSP-2b25de19-8d72-3812-8d5b-5f964da8adf8</t>
  </si>
  <si>
    <t>https://resolver.staatsbibliothek-berlin.de/HSP0005398200000000</t>
  </si>
  <si>
    <t>HSP-442630a1-d1e0-3160-a8c4-bd5a4a730bc7</t>
  </si>
  <si>
    <t>HSP-4016433d-33c4-30b2-979a-4d4d220fad94</t>
  </si>
  <si>
    <t>https://resolver.staatsbibliothek-berlin.de/HSP00062F4E00000000</t>
  </si>
  <si>
    <t>[Nummer Signatur]</t>
  </si>
  <si>
    <t>Cod. Donaueschingen 103</t>
  </si>
  <si>
    <t>Cod. Donaueschingen 143</t>
  </si>
  <si>
    <t>HSP-3133e409-8a59-3b42-b433-1f285eb67042</t>
  </si>
  <si>
    <t>[Nummer Laßberg]</t>
  </si>
  <si>
    <t>HSP-2a154dfc-800a-3aee-8131-6cba2bce6d34</t>
  </si>
  <si>
    <t>https://resolver.staatsbibliothek-berlin.de/HSP0005398300000000</t>
  </si>
  <si>
    <t>HSP-44cdaf1e-8feb-3800-a704-945af4790d95</t>
  </si>
  <si>
    <t>HSP-75128c7c-ff29-33af-bcb1-3c7811341c87</t>
  </si>
  <si>
    <t>https://resolver.staatsbibliothek-berlin.de/HSP00062F5000000000</t>
  </si>
  <si>
    <t>HSP-ID KOD</t>
  </si>
  <si>
    <t>Permalink KOD</t>
  </si>
  <si>
    <t>Cod. Donaueschingen 104</t>
  </si>
  <si>
    <t>HSP-96a15530-bf95-375e-a6a9-e34efb79e8fb</t>
  </si>
  <si>
    <t>HSP-11d6b533-63f3-36bd-91aa-4a8d5ef766fd</t>
  </si>
  <si>
    <t>Permalink Beschreibung</t>
  </si>
  <si>
    <t>https://resolver.staatsbibliothek-berlin.de/HSP0005398400000000</t>
  </si>
  <si>
    <t>https://resolver.staatsbibliothek-berlin.de/HSP00062F5100000000</t>
  </si>
  <si>
    <t>Cod. Donaueschingen 105a</t>
  </si>
  <si>
    <t>HSP-b03c17a8-959d-34aa-87be-d2a332e55ed1</t>
  </si>
  <si>
    <t>HSP-84d08aa6-8229-32ce-87e8-19c70287dd6d</t>
  </si>
  <si>
    <t>https://resolver.staatsbibliothek-berlin.de/HSP0005398500000000</t>
  </si>
  <si>
    <t>Cod. Donaueschingen 106</t>
  </si>
  <si>
    <t>HSP-316cca2d-b0da-367e-9c40-dccd11c95baf</t>
  </si>
  <si>
    <t>HSP-6c930a96-775e-3a48-80e6-596a1db0e274</t>
  </si>
  <si>
    <t>https://resolver.staatsbibliothek-berlin.de/HSP00062F5200000000</t>
  </si>
  <si>
    <t>Cod. Donaueschingen 94</t>
  </si>
  <si>
    <t>HSP-0f040e59-61aa-37e7-91f0-1d589d9b7ba4</t>
  </si>
  <si>
    <t>Cod. Donaueschingen 105b</t>
  </si>
  <si>
    <t>HSP-344ed4cd-0ae7-35e5-b8af-a15c841605a5</t>
  </si>
  <si>
    <t>https://resolver.staatsbibliothek-berlin.de/HSP00062F5400000000</t>
  </si>
  <si>
    <t>HSP-123c157d-d700-3442-abb2-41352424f203</t>
  </si>
  <si>
    <t>HSP-0f117a9f-b856-3a17-a424-4c15bc3ac4b3</t>
  </si>
  <si>
    <t>https://resolver.staatsbibliothek-berlin.de/HSP0005398600000000</t>
  </si>
  <si>
    <t>Cod. Donaueschingen 140</t>
  </si>
  <si>
    <t>HSP-9df5a0d1-d1e2-3532-864e-f38b58144007</t>
  </si>
  <si>
    <t>Cod. Donaueschingen 105c</t>
  </si>
  <si>
    <t>HSP-9e585e03-1165-3d80-bc4a-35129d70b7d9</t>
  </si>
  <si>
    <t>https://resolver.staatsbibliothek-berlin.de/HSP00062F5300000000</t>
  </si>
  <si>
    <t>HSP-9d4c8ee0-be22-3b58-b547-534bc8c94b60</t>
  </si>
  <si>
    <t>HSP-919868b3-5792-34bb-91e0-9a299321870b</t>
  </si>
  <si>
    <t>https://resolver.staatsbibliothek-berlin.de/HSP0005398700000000</t>
  </si>
  <si>
    <t>Cod. Donaueschingen 117</t>
  </si>
  <si>
    <t>HSP-1b322012-7251-3d38-9338-72acb2bb30d0</t>
  </si>
  <si>
    <t>HSP-6542ec5c-cf83-326d-97ae-105ce67e3756</t>
  </si>
  <si>
    <t>https://resolver.staatsbibliothek-berlin.de/HSP00062F5600000000</t>
  </si>
  <si>
    <t>https://resolver.staatsbibliothek-berlin.de/HSP0005398800000000</t>
  </si>
  <si>
    <t>Cod. Donaueschingen 148</t>
  </si>
  <si>
    <t>HSP-4a75815a-e28c-3de8-9e4e-1607798656d4</t>
  </si>
  <si>
    <t>HSP-491f52f3-a36e-3472-af35-a6be58ec1ca9</t>
  </si>
  <si>
    <t>https://resolver.staatsbibliothek-berlin.de/HSP00062F5500000000</t>
  </si>
  <si>
    <t>Cod. Donaueschingen 107</t>
  </si>
  <si>
    <t>HSP-8b29460e-0e02-3c1a-962d-7ffaf070b7f4</t>
  </si>
  <si>
    <t>HSP-020577c8-bfe2-34eb-92fa-34d5e83b354e</t>
  </si>
  <si>
    <t>https://resolver.staatsbibliothek-berlin.de/HSP0005398900000000</t>
  </si>
  <si>
    <t>Cod. Donaueschingen 64</t>
  </si>
  <si>
    <t>Mackert, Christoph</t>
  </si>
  <si>
    <t>HSP-b4730138-f8e7-35e2-8c1a-948a6e46f13e</t>
  </si>
  <si>
    <t>HSP-31655ad3-cde6-3c7d-b0a6-dff36cb6843e</t>
  </si>
  <si>
    <t>https://resolver.staatsbibliothek-berlin.de/HSP00062F5700000000</t>
  </si>
  <si>
    <t>Cod. Donaueschingen 108</t>
  </si>
  <si>
    <t>HSP-dd90c7ec-87e7-3716-a123-a3e987a52b55</t>
  </si>
  <si>
    <t>HSP-a00afbf7-bae2-38a2-ba87-1759fe50a588</t>
  </si>
  <si>
    <t>https://resolver.staatsbibliothek-berlin.de/HSP0005398A00000000</t>
  </si>
  <si>
    <t>Cod. Donaueschingen 145</t>
  </si>
  <si>
    <t>HSP-8e97dad2-e179-37a7-91dc-1583f587a1f3</t>
  </si>
  <si>
    <t>HSP-90160700-740b-331a-a019-337494845693</t>
  </si>
  <si>
    <t>https://resolver.staatsbibliothek-berlin.de/HSP00062F5A00000000</t>
  </si>
  <si>
    <t>Cod. Donaueschingen 109</t>
  </si>
  <si>
    <t>HSP-d82573c4-e0c7-37dc-9208-ed9ee10f245d</t>
  </si>
  <si>
    <t>HSP-6eed1555-f5e0-3504-9c7d-d8531e1ef34c</t>
  </si>
  <si>
    <t>https://resolver.staatsbibliothek-berlin.de/HSP0005398B00000000</t>
  </si>
  <si>
    <t>Cod. Donaueschingen 129</t>
  </si>
  <si>
    <t>HSP-12f7558a-ffd8-3eba-ab30-99ff1ba7fea5</t>
  </si>
  <si>
    <t>HSP-025a0302-cbea-3a34-9c20-592e9c885e7b</t>
  </si>
  <si>
    <t>https://resolver.staatsbibliothek-berlin.de/HSP00062F5800000000</t>
  </si>
  <si>
    <t>Cod. Donaueschingen 11</t>
  </si>
  <si>
    <t>HSP-941bdddc-a578-39a2-ba2c-0fa58bfcde88</t>
  </si>
  <si>
    <t>HSP-45c2b038-d307-3cf3-b9bb-9afc5d314e0f</t>
  </si>
  <si>
    <t>https://resolver.staatsbibliothek-berlin.de/HSP0005398C00000000</t>
  </si>
  <si>
    <t>https://resolver.staatsbibliothek-berlin.de/HSP00062F5B00000000</t>
  </si>
  <si>
    <t>Cod. Donaueschingen 110</t>
  </si>
  <si>
    <t>HSP-2b779d49-b34a-3564-8e04-65a09a82b257</t>
  </si>
  <si>
    <t>HSP-b7624685-1c27-3826-9d46-55ff9b0d50c7</t>
  </si>
  <si>
    <t>https://resolver.staatsbibliothek-berlin.de/HSP0005398D00000000</t>
  </si>
  <si>
    <t>https://resolver.staatsbibliothek-berlin.de/HSP00062F5900000000</t>
  </si>
  <si>
    <t>Cod. Donaueschingen 111a</t>
  </si>
  <si>
    <t>HSP-c6afe163-f032-3b3f-a586-6cbfe17d9310</t>
  </si>
  <si>
    <t>HSP-9f5115d9-bcd7-327b-a7c0-d2437bc72e5e</t>
  </si>
  <si>
    <t>https://resolver.staatsbibliothek-berlin.de/HSP0005398E00000000</t>
  </si>
  <si>
    <t>Cod. Donaueschingen 86</t>
  </si>
  <si>
    <t>HSP-08f55f7d-3488-373b-b3d8-383c0bedbf16</t>
  </si>
  <si>
    <t>HSP-ea7b0851-7042-3a32-9bbe-f7aa7065f0ee</t>
  </si>
  <si>
    <t>https://resolver.staatsbibliothek-berlin.de/HSP00062F5E00000000</t>
  </si>
  <si>
    <t>Cod. Donaueschingen 111b</t>
  </si>
  <si>
    <t>HSP-e4711e72-a803-30d9-b262-4bf5e24ac487</t>
  </si>
  <si>
    <t>HSP-35288ffd-359e-3e29-9c85-0b5d3a12a34b</t>
  </si>
  <si>
    <t>https://resolver.staatsbibliothek-berlin.de/HSP0005398F00000000</t>
  </si>
  <si>
    <t>https://resolver.staatsbibliothek-berlin.de/HSP00062F5C00000000</t>
  </si>
  <si>
    <t>https://resolver.staatsbibliothek-berlin.de/HSP0005399000000000</t>
  </si>
  <si>
    <t>Cod. Donaueschingen 189</t>
  </si>
  <si>
    <t>HSP-68b9b4c8-e58f-34dc-a739-10ba33fd19cb</t>
  </si>
  <si>
    <t>HSP-ed1bed4e-a660-358d-8077-45ecae1055da</t>
  </si>
  <si>
    <t>https://resolver.staatsbibliothek-berlin.de/HSP00062F5D00000000</t>
  </si>
  <si>
    <t>Cod. Donaueschingen 113</t>
  </si>
  <si>
    <t>HSP-9f926ebf-10bb-3d20-88e0-9c8c506be721</t>
  </si>
  <si>
    <t>HSP-460c4b85-3c12-3402-98c2-60c2f8f34eb9</t>
  </si>
  <si>
    <t>https://resolver.staatsbibliothek-berlin.de/HSP0005399100000000</t>
  </si>
  <si>
    <t>Cod. Donaueschingen 71</t>
  </si>
  <si>
    <t>HSP-14bd8f73-6d70-3d5e-9560-015f486b098b</t>
  </si>
  <si>
    <t>HSP-1ac923bc-aca6-3067-93d4-240bf398fc5c</t>
  </si>
  <si>
    <t>https://resolver.staatsbibliothek-berlin.de/HSP00062F6100000000</t>
  </si>
  <si>
    <t>Cod. Donaueschingen 114</t>
  </si>
  <si>
    <t>HSP-9ac7779f-d662-34a5-a8f8-6bccf87b549b</t>
  </si>
  <si>
    <t>HSP-3c1cb820-a9ad-388c-b79f-3deef206961c</t>
  </si>
  <si>
    <t>https://resolver.staatsbibliothek-berlin.de/HSP0005399200000000</t>
  </si>
  <si>
    <t>Cod. Donaueschingen 69</t>
  </si>
  <si>
    <t>HSP-66294a58-fe7e-34b0-b78b-765f09291797</t>
  </si>
  <si>
    <t>HSP-eca8b20a-a06a-3eb3-93aa-feb39410cf0c</t>
  </si>
  <si>
    <t>https://resolver.staatsbibliothek-berlin.de/HSP00062F6000000000</t>
  </si>
  <si>
    <t>https://resolver.staatsbibliothek-berlin.de/HSP0005399300000000</t>
  </si>
  <si>
    <t>Cod. Donaueschingen 87</t>
  </si>
  <si>
    <t>HSP-68a45e37-9e77-3cbc-8ae3-60494f48b4d4</t>
  </si>
  <si>
    <t>HSP-d5b9361b-dd78-3b52-b94a-ab877cbbb798</t>
  </si>
  <si>
    <t>https://resolver.staatsbibliothek-berlin.de/HSP00062F5F00000000</t>
  </si>
  <si>
    <t>Cod. Donaueschingen 50</t>
  </si>
  <si>
    <t>https://resolver.staatsbibliothek-berlin.de/HSP0005399400000000</t>
  </si>
  <si>
    <t>HSP-506b734b-544e-3805-b186-3d2e4c8d3f12</t>
  </si>
  <si>
    <t>HSP-f8897fde-ccb6-35a8-ad96-5e29bd74208c</t>
  </si>
  <si>
    <t>https://resolver.staatsbibliothek-berlin.de/HSP00062F6800000000</t>
  </si>
  <si>
    <t>Cod. Donaueschingen 91</t>
  </si>
  <si>
    <t>https://resolver.staatsbibliothek-berlin.de/HSP0005399500000000</t>
  </si>
  <si>
    <t>HSP-8e7ead62-4fe5-3ccf-974f-adcc3b15c2bb</t>
  </si>
  <si>
    <t>HSP-e2347514-4cdc-3081-a392-6c01ab449a9d</t>
  </si>
  <si>
    <t>https://resolver.staatsbibliothek-berlin.de/HSP00062F6300000000</t>
  </si>
  <si>
    <t>Cod. Donaueschingen 118</t>
  </si>
  <si>
    <t>Cod. Donaueschingen 80</t>
  </si>
  <si>
    <t>HSP-8a28a11c-1699-3f3d-a959-981cbb7b2352</t>
  </si>
  <si>
    <t>HSP-f5ab6df3-192f-32d4-a00a-a7b59565447c</t>
  </si>
  <si>
    <t>https://resolver.staatsbibliothek-berlin.de/HSP0005399600000000</t>
  </si>
  <si>
    <t>HSP-0c68feb6-d85d-356a-9abd-d7d1c4dd4367</t>
  </si>
  <si>
    <t>HSP-c7d3f08b-deb5-3337-a399-e29e3296013d</t>
  </si>
  <si>
    <t>https://resolver.staatsbibliothek-berlin.de/HSP00062F6500000000</t>
  </si>
  <si>
    <t>Cod. Donaueschingen 119</t>
  </si>
  <si>
    <t>HSP-e03bca77-9acf-3204-9121-83cc03d95cd5</t>
  </si>
  <si>
    <t>Cod. Donaueschingen 51</t>
  </si>
  <si>
    <t>HSP-efdbae03-c961-3590-a87a-ac5be2285366</t>
  </si>
  <si>
    <t>https://resolver.staatsbibliothek-berlin.de/HSP0005399700000000</t>
  </si>
  <si>
    <t>HSP-403df135-612a-3de1-8a04-c46612e4aa75</t>
  </si>
  <si>
    <t>HSP-6f5278ee-3026-3942-b9ae-89fd0b06b091</t>
  </si>
  <si>
    <t>https://resolver.staatsbibliothek-berlin.de/HSP00062F6900000000</t>
  </si>
  <si>
    <t>Cod. Donaueschingen 120</t>
  </si>
  <si>
    <t>Cod. Donaueschingen 73</t>
  </si>
  <si>
    <t>HSP-8f8428dc-9cb1-35dd-9c20-fdfab0749655</t>
  </si>
  <si>
    <t>HSP-013575d7-38c1-3442-a52d-186d958881f0</t>
  </si>
  <si>
    <t>https://resolver.staatsbibliothek-berlin.de/HSP0005399800000000</t>
  </si>
  <si>
    <t>HSP-986fc6fc-f5ec-31c3-92f5-fec7ddca08ac</t>
  </si>
  <si>
    <t>HSP-76153bee-8501-3630-93c1-aa943f85ba68</t>
  </si>
  <si>
    <t>https://resolver.staatsbibliothek-berlin.de/HSP00062F6200000000</t>
  </si>
  <si>
    <t>Cod. Donaueschingen A III 25</t>
  </si>
  <si>
    <t>Cod. Donaueschingen 121</t>
  </si>
  <si>
    <t>HSP-92b5da16-e476-3eb6-abfb-7d440df2190f</t>
  </si>
  <si>
    <t>HSP-855f095d-26e0-30b0-b596-36fadd64c1cf</t>
  </si>
  <si>
    <t>HSP-6d692352-5040-3daf-92e6-e10e6dadb784</t>
  </si>
  <si>
    <t>https://resolver.staatsbibliothek-berlin.de/HSP00062F6700000000</t>
  </si>
  <si>
    <t>HSP-abdb0969-3e0c-3730-8035-58ddbd4444c9</t>
  </si>
  <si>
    <t>https://resolver.staatsbibliothek-berlin.de/HSP0005399900000000</t>
  </si>
  <si>
    <t>Cod. Donaueschingen 78</t>
  </si>
  <si>
    <t>Cod. Donaueschingen 122</t>
  </si>
  <si>
    <t>HSP-a8e7e7c1-1613-32f0-a79a-b787b50f58a2</t>
  </si>
  <si>
    <t>HSP-96b7a2a1-f5d8-37f4-bf65-1c6f4b472e68</t>
  </si>
  <si>
    <t>https://resolver.staatsbibliothek-berlin.de/HSP00062F6600000000</t>
  </si>
  <si>
    <t>HSP-0753b52f-d6d2-34a2-a599-4fca54fac7a5</t>
  </si>
  <si>
    <t>HSP-7c129974-f0c1-3812-b045-9efc2931d663</t>
  </si>
  <si>
    <t>https://resolver.staatsbibliothek-berlin.de/HSP0005399A00000000</t>
  </si>
  <si>
    <t>Cod. Donaueschingen 85</t>
  </si>
  <si>
    <t>HSP-b04837cb-c3bf-31c9-bd2f-d7cb55f4e9d7</t>
  </si>
  <si>
    <t>HSP-c3261d37-f225-3db5-b7ee-4ff3e37579a2</t>
  </si>
  <si>
    <t>https://resolver.staatsbibliothek-berlin.de/HSP00062F6400000000</t>
  </si>
  <si>
    <t>https://resolver.staatsbibliothek-berlin.de/HSP0005399B00000000</t>
  </si>
  <si>
    <t>Cod. Donaueschingen 67</t>
  </si>
  <si>
    <t>HSP-3377720a-4adf-3eb5-b89b-ea56882ad801</t>
  </si>
  <si>
    <t>HSP-423feb6b-cf26-3213-974a-9a4af84f18a2</t>
  </si>
  <si>
    <t>https://resolver.staatsbibliothek-berlin.de/HSP00062F6D00000000</t>
  </si>
  <si>
    <t>Cod. Donaueschingen 130</t>
  </si>
  <si>
    <t>HSP-2df880b2-2e84-3e5e-b266-fabe1deeef88</t>
  </si>
  <si>
    <t>HSP-8340b943-d320-31f4-9e11-ca82e5c49138</t>
  </si>
  <si>
    <t>https://resolver.staatsbibliothek-berlin.de/HSP0005399C00000000</t>
  </si>
  <si>
    <t>Cod. Donaueschingen 53</t>
  </si>
  <si>
    <t>HSP-c0f91637-33f7-32ee-83fc-a51b78112bcf</t>
  </si>
  <si>
    <t>HSP-593a0e78-c1bf-307d-88e4-29526fa7b5cd</t>
  </si>
  <si>
    <t>https://resolver.staatsbibliothek-berlin.de/HSP00062F6B00000000</t>
  </si>
  <si>
    <t>Cod. Donaueschingen 131</t>
  </si>
  <si>
    <t>HSP-dbcc23ec-1f98-3853-b3b4-006e87e9d7d2</t>
  </si>
  <si>
    <t>HSP-869c002b-acb3-387e-a6bd-19bc9837ed57</t>
  </si>
  <si>
    <t>https://resolver.staatsbibliothek-berlin.de/HSP0005399D00000000</t>
  </si>
  <si>
    <t>Cod. Donaueschingen 70</t>
  </si>
  <si>
    <t>HSP-234d82af-9c75-3e26-8341-55fd9353a0da</t>
  </si>
  <si>
    <t>HSP-66a860e9-f506-3899-b7ba-74f8a4d35727</t>
  </si>
  <si>
    <t>https://resolver.staatsbibliothek-berlin.de/HSP00062F6C00000000</t>
  </si>
  <si>
    <t>Cod. Donaueschingen 136</t>
  </si>
  <si>
    <t>HSP-022dd26f-1d1b-3490-acff-8192d5d1ce1b</t>
  </si>
  <si>
    <t>HSP-29a2b4b3-6f6f-3485-b449-a52f507af258</t>
  </si>
  <si>
    <t>https://resolver.staatsbibliothek-berlin.de/HSP0005399E00000000</t>
  </si>
  <si>
    <t>Cod. Donaueschingen 52</t>
  </si>
  <si>
    <t>HSP-a2c9149f-2c53-3f85-bf96-1cf76c205567</t>
  </si>
  <si>
    <t>HSP-d7d19d70-4ab5-3862-972e-919576d06981</t>
  </si>
  <si>
    <t>https://resolver.staatsbibliothek-berlin.de/HSP00062F6A00000000</t>
  </si>
  <si>
    <t>Cod. Donaueschingen 137</t>
  </si>
  <si>
    <t>HSP-f6e236e2-f848-36da-8781-4244b5b2186a</t>
  </si>
  <si>
    <t>HSP-e9a188a2-3607-3623-b01f-ad0bdb1ed6b0</t>
  </si>
  <si>
    <t>https://resolver.staatsbibliothek-berlin.de/HSP0005399F00000000</t>
  </si>
  <si>
    <t>Cod. Donaueschingen 68</t>
  </si>
  <si>
    <t>HSP-1f6f6dfc-9ceb-3701-afec-b08af54b7ba6</t>
  </si>
  <si>
    <t>HSP-4c50f7dd-8057-3084-b9c7-5b4f0d7bd581</t>
  </si>
  <si>
    <t>https://resolver.staatsbibliothek-berlin.de/HSP00062F6E00000000</t>
  </si>
  <si>
    <t>Cod. Donaueschingen 138a</t>
  </si>
  <si>
    <t>HSP-75905429-b774-34d9-947a-21cfc945a1ee</t>
  </si>
  <si>
    <t>HSP-e9f63dcc-c512-3af6-b185-317880becfe7</t>
  </si>
  <si>
    <t>https://resolver.staatsbibliothek-berlin.de/HSP000539A000000000</t>
  </si>
  <si>
    <t>Cod. Donaueschingen 81</t>
  </si>
  <si>
    <t>HSP-a39ea4ec-ee1b-38b5-8d64-70489eac8fe8</t>
  </si>
  <si>
    <t>HSP-ce654728-ebdf-3fe6-9515-02a5d79dfd87</t>
  </si>
  <si>
    <t>https://resolver.staatsbibliothek-berlin.de/HSP00062F7300000000</t>
  </si>
  <si>
    <t>Cod. Donaueschingen 138b</t>
  </si>
  <si>
    <t>HSP-136bc5c1-e43c-3500-8f1b-5afedf28c16f</t>
  </si>
  <si>
    <t>HSP-47a24f03-cb6c-333c-b583-20a1caf450d2</t>
  </si>
  <si>
    <t>https://resolver.staatsbibliothek-berlin.de/HSP000539A100000000</t>
  </si>
  <si>
    <t>Cod. Donaueschingen 76</t>
  </si>
  <si>
    <t>HSP-7a45f8ab-42a9-3a3a-8c23-921b31725ac7</t>
  </si>
  <si>
    <t>HSP-d1cea0b6-1d48-38ef-b142-f476fe3dfe75</t>
  </si>
  <si>
    <t>https://resolver.staatsbibliothek-berlin.de/HSP00062F7000000000</t>
  </si>
  <si>
    <t>https://resolver.staatsbibliothek-berlin.de/HSP000539A200000000</t>
  </si>
  <si>
    <t>Cod. Donaueschingen 75b</t>
  </si>
  <si>
    <t>HSP-f7197a77-3ccf-34d0-84cb-8bddaf7fb4d7</t>
  </si>
  <si>
    <t>HSP-d6b6f250-4558-3188-b685-f16e8557de8e</t>
  </si>
  <si>
    <t>https://resolver.staatsbibliothek-berlin.de/HSP00062F7200000000</t>
  </si>
  <si>
    <t>Cod. Donaueschingen 141</t>
  </si>
  <si>
    <t>HSP-1f77ebc5-da60-3c69-87d9-413d452a02a5</t>
  </si>
  <si>
    <t>HSP-0dac7f50-c61f-3243-9e87-27819b0d0f83</t>
  </si>
  <si>
    <t>https://resolver.staatsbibliothek-berlin.de/HSP000539A300000000</t>
  </si>
  <si>
    <t>Cod. Donaueschingen 75a</t>
  </si>
  <si>
    <t>HSP-f4e6bbdb-89b6-32f6-98a5-34c29343f548</t>
  </si>
  <si>
    <t>HSP-01aad6fa-006e-363e-a1d0-1e45cf1981cb</t>
  </si>
  <si>
    <t>https://resolver.staatsbibliothek-berlin.de/HSP00062F7100000000</t>
  </si>
  <si>
    <t>Cod. Donaueschingen 72</t>
  </si>
  <si>
    <t>https://resolver.staatsbibliothek-berlin.de/HSP000539A400000000</t>
  </si>
  <si>
    <t>HSP-2d1c8fb8-08bc-3a84-bf47-1c4846908512</t>
  </si>
  <si>
    <t>HSP-e8db0dc3-52f6-33c6-93e7-7d0b61b0c1a6</t>
  </si>
  <si>
    <t>https://resolver.staatsbibliothek-berlin.de/HSP00062F6F00000000</t>
  </si>
  <si>
    <t>Cod. Donaueschingen 90</t>
  </si>
  <si>
    <t>HSP-e80758b8-0bc2-3268-b183-bd8ec659c741</t>
  </si>
  <si>
    <t>HSP-5370d2d4-06fd-321b-91e6-09a372890a12</t>
  </si>
  <si>
    <t>https://resolver.staatsbibliothek-berlin.de/HSP00062F7400000000</t>
  </si>
  <si>
    <t>https://resolver.staatsbibliothek-berlin.de/HSP000539A500000000</t>
  </si>
  <si>
    <t>Cod. Donaueschingen 83</t>
  </si>
  <si>
    <t>Cod. Donaueschingen 144</t>
  </si>
  <si>
    <t>HSP-3012bdfa-0312-398d-b3d0-0f1c536fee5d</t>
  </si>
  <si>
    <t>HSP-4f4b23e7-5199-3d31-9505-d81bfa27f08d</t>
  </si>
  <si>
    <t>HSP-3dfe8c8d-5e25-3197-be1e-5be5eaa5e1b8</t>
  </si>
  <si>
    <t>https://resolver.staatsbibliothek-berlin.de/HSP00062F7500000000</t>
  </si>
  <si>
    <t>HSP-4fb6a0a8-2c03-30f9-acfc-334595eedaf1</t>
  </si>
  <si>
    <t>https://resolver.staatsbibliothek-berlin.de/HSP000539A600000000</t>
  </si>
  <si>
    <t>Cod. Donaueschingen 88</t>
  </si>
  <si>
    <t>HSP-84b2ca17-b9f0-3d26-b39a-10ad6caec7ca</t>
  </si>
  <si>
    <t>HSP-2176ef14-2e51-3ac4-b9c2-c9e4b1bb363c</t>
  </si>
  <si>
    <t>https://resolver.staatsbibliothek-berlin.de/HSP00062F7600000000</t>
  </si>
  <si>
    <t>https://resolver.staatsbibliothek-berlin.de/HSP000539A700000000</t>
  </si>
  <si>
    <t>Cod. Donaueschingen 513</t>
  </si>
  <si>
    <t>Cod. Donaueschingen 146</t>
  </si>
  <si>
    <t>HSP-baab5867-5f19-3fcc-b762-70f48ed9c098</t>
  </si>
  <si>
    <t>HSP-6c51fd7a-f78e-378e-a13b-dee150081546</t>
  </si>
  <si>
    <t>HSP-f88a15a1-5554-3cd7-a754-8cf53168c08a</t>
  </si>
  <si>
    <t>https://resolver.staatsbibliothek-berlin.de/HSP00062F7900000000</t>
  </si>
  <si>
    <t>HSP-4c5df094-5414-3693-8780-b6f6d30457d0</t>
  </si>
  <si>
    <t>https://resolver.staatsbibliothek-berlin.de/HSP000539A800000000</t>
  </si>
  <si>
    <t>Cod. Donaueschingen 89</t>
  </si>
  <si>
    <t>HSP-73f35cce-6dbb-3eb2-a79b-48fee3bcf222</t>
  </si>
  <si>
    <t>Cod. Donaueschingen 147</t>
  </si>
  <si>
    <t>HSP-59eeb9ec-c6ed-308d-9e50-c1d4d1fe0c83</t>
  </si>
  <si>
    <t>https://resolver.staatsbibliothek-berlin.de/HSP00062F7A00000000</t>
  </si>
  <si>
    <t>HSP-c87a6c65-17c8-3fb0-b95f-840b5d024963</t>
  </si>
  <si>
    <t>HSP-2dcf1b9d-036a-3ed4-b348-d02c36399e7a</t>
  </si>
  <si>
    <t>https://resolver.staatsbibliothek-berlin.de/HSP000539A900000000</t>
  </si>
  <si>
    <t>Cod. Donaueschingen 84</t>
  </si>
  <si>
    <t>HSP-814affe4-9167-36e6-af0d-d2a7ef0877cb</t>
  </si>
  <si>
    <t>HSP-b7ae5441-aba8-3301-9b51-abc890acf22a</t>
  </si>
  <si>
    <t>https://resolver.staatsbibliothek-berlin.de/HSP00062F7700000000</t>
  </si>
  <si>
    <t>https://resolver.staatsbibliothek-berlin.de/HSP000539AA00000000</t>
  </si>
  <si>
    <t>Cod. Donaueschingen A III 7</t>
  </si>
  <si>
    <t>HSP-07fb02bd-a6e7-3db3-8ead-da896aab6634</t>
  </si>
  <si>
    <t>HSP-e04bb33e-e6d1-350b-91dc-fce3a448a249</t>
  </si>
  <si>
    <t>https://resolver.staatsbibliothek-berlin.de/HSP00062F7D00000000</t>
  </si>
  <si>
    <t>Cod. Donaueschingen 149</t>
  </si>
  <si>
    <t>HSP-fa6d2b67-fc8c-39fa-aab1-5bb48064e67d</t>
  </si>
  <si>
    <t>HSP-49963cc7-6f11-33c1-aea4-374a77db823a</t>
  </si>
  <si>
    <t>https://resolver.staatsbibliothek-berlin.de/HSP000539AB00000000</t>
  </si>
  <si>
    <t>Cod. Donaueschingen 514</t>
  </si>
  <si>
    <t>HSP-b2aaa746-d47d-3af4-9999-ccf584a12fc4</t>
  </si>
  <si>
    <t>HSP-71e3acb0-d943-3ce2-8b23-dd8ecc8bab54</t>
  </si>
  <si>
    <t>Cod. Donaueschingen 150</t>
  </si>
  <si>
    <t>https://resolver.staatsbibliothek-berlin.de/HSP00062F7B00000000</t>
  </si>
  <si>
    <t>HSP-c9a30c9d-8713-3440-87ac-0b3a765a2687</t>
  </si>
  <si>
    <t>HSP-407ac042-20db-3654-973f-6cdb63fdf0d0</t>
  </si>
  <si>
    <t>https://resolver.staatsbibliothek-berlin.de/HSP000539AC00000000</t>
  </si>
  <si>
    <t>Cod. Donaueschingen A II 14</t>
  </si>
  <si>
    <t>HSP-f5973991-ddf3-3108-94a2-a8e8f64007d6</t>
  </si>
  <si>
    <t>HSP-4d0e65ac-8d39-3376-97d7-c04a0483500e</t>
  </si>
  <si>
    <t>https://resolver.staatsbibliothek-berlin.de/HSP00062F7C00000000</t>
  </si>
  <si>
    <t>Cod. Donaueschingen 151</t>
  </si>
  <si>
    <t>HSP-f6e4fc1d-97f9-3414-b6d4-6dd4628fece7</t>
  </si>
  <si>
    <t>HSP-47ce433a-7241-34a8-8624-c4b9ddf5586f</t>
  </si>
  <si>
    <t>https://resolver.staatsbibliothek-berlin.de/HSP000539AD00000000</t>
  </si>
  <si>
    <t>Cod. Donaueschingen A III 8</t>
  </si>
  <si>
    <t>HSP-43a00edb-95a1-3afd-969b-74ba1e398c9a</t>
  </si>
  <si>
    <t>HSP-e2fe05f7-202a-308d-b43b-2cb711720f09</t>
  </si>
  <si>
    <t>https://resolver.staatsbibliothek-berlin.de/HSP00062F7F00000000</t>
  </si>
  <si>
    <t>Cod. Donaueschingen 152</t>
  </si>
  <si>
    <t>HSP-a0f8c101-ecf0-3442-86ac-9d212e7078eb</t>
  </si>
  <si>
    <t>HSP-02e7915b-ff1f-36f5-ad0d-8ca29dc950a8</t>
  </si>
  <si>
    <t>https://resolver.staatsbibliothek-berlin.de/HSP000539AE00000000</t>
  </si>
  <si>
    <t>Cod. Donaueschingen A III 27</t>
  </si>
  <si>
    <t>HSP-4f5ee1c1-aa14-3765-9622-b901d5fc04b2</t>
  </si>
  <si>
    <t>HSP-8503c615-da5d-316f-8457-bb720ddef1ab</t>
  </si>
  <si>
    <t>https://resolver.staatsbibliothek-berlin.de/HSP00062F7E00000000</t>
  </si>
  <si>
    <t>Cod. Donaueschingen 153</t>
  </si>
  <si>
    <t>HSP-8218bdee-523b-33f6-9eef-7947a87c925c</t>
  </si>
  <si>
    <t>HSP-4207e9a5-55d5-3829-bf04-12bd336114aa</t>
  </si>
  <si>
    <t>https://resolver.staatsbibliothek-berlin.de/HSP000539AF00000000</t>
  </si>
  <si>
    <t>Cod. Donaueschingen A III 29</t>
  </si>
  <si>
    <t>HSP-e11d227f-06c4-3b08-af67-7bbacade9ee7</t>
  </si>
  <si>
    <t>HSP-5ca64c22-4fcc-3b46-8877-b87220024738</t>
  </si>
  <si>
    <t>https://resolver.staatsbibliothek-berlin.de/HSP00062F8100000000</t>
  </si>
  <si>
    <t>Cod. Donaueschingen 156</t>
  </si>
  <si>
    <t>NEIN</t>
  </si>
  <si>
    <t>HSP-8932aa0b-c54f-30a1-ace3-419fc4107a3d</t>
  </si>
  <si>
    <t>HSP-d3d68485-31e1-3441-8647-54f00d612764</t>
  </si>
  <si>
    <t>https://resolver.staatsbibliothek-berlin.de/HSP000539B000000000</t>
  </si>
  <si>
    <t>https://resolver.staatsbibliothek-berlin.de/HSP00062F8400000000</t>
  </si>
  <si>
    <t>Cod. Donaueschingen 157a</t>
  </si>
  <si>
    <t>HSP-96f9b9e7-dffe-3fd8-957e-0ad7024577ba</t>
  </si>
  <si>
    <t>HSP-3b953578-b0b9-3f64-aef5-519509e0408f</t>
  </si>
  <si>
    <t>https://resolver.staatsbibliothek-berlin.de/HSP000539B100000000</t>
  </si>
  <si>
    <t>Cod. Donaueschingen A III 48</t>
  </si>
  <si>
    <t>HSP-bd40783d-389f-3ad4-b913-89eed2031e1b</t>
  </si>
  <si>
    <t>HSP-a3e7b6fc-b211-3c6a-bdd5-557ff2728940</t>
  </si>
  <si>
    <t>https://resolver.staatsbibliothek-berlin.de/HSP00062F8000000000</t>
  </si>
  <si>
    <t>Cod. Donaueschingen 157b</t>
  </si>
  <si>
    <t>HSP-cc18fdce-a314-367f-93a6-6c5306576e43</t>
  </si>
  <si>
    <t>HSP-e9a7f203-ca30-3e37-8c66-228b333a4bd8</t>
  </si>
  <si>
    <t>https://resolver.staatsbibliothek-berlin.de/HSP000539B200000000</t>
  </si>
  <si>
    <t>Cod. Donaueschingen C I 2</t>
  </si>
  <si>
    <t>HSP-2a22b74a-9088-3ec4-8bfa-4ea97977fbce</t>
  </si>
  <si>
    <t>HSP-7659abc0-b392-3597-8a83-fd09fe84438a</t>
  </si>
  <si>
    <t>https://resolver.staatsbibliothek-berlin.de/HSP00062F8300000000</t>
  </si>
  <si>
    <t>Cod. Donaueschingen 158a</t>
  </si>
  <si>
    <t>HSP-6b2b72cb-1ffe-375b-99c0-385236b3aa06</t>
  </si>
  <si>
    <t>HSP-2f59d945-306d-36d7-8c5e-5353d08e27a7</t>
  </si>
  <si>
    <t>https://resolver.staatsbibliothek-berlin.de/HSP000539B300000000</t>
  </si>
  <si>
    <t>Cod. Donaueschingen A III 49</t>
  </si>
  <si>
    <t>HSP-5b20631d-9255-3d2a-ac93-44f604e27ceb</t>
  </si>
  <si>
    <t>HSP-63d69f31-ecfd-3bde-a571-b68778da4919</t>
  </si>
  <si>
    <t>https://resolver.staatsbibliothek-berlin.de/HSP00062F8200000000</t>
  </si>
  <si>
    <t>75a</t>
  </si>
  <si>
    <t>Cod. Donaueschingen 158b</t>
  </si>
  <si>
    <t>HSP-62e7a0a8-4b71-3dce-809f-d09b4c2d7dee</t>
  </si>
  <si>
    <t>HSP-538f89ee-e8f3-3d86-bc17-d454378c0f24</t>
  </si>
  <si>
    <t>https://resolver.staatsbibliothek-berlin.de/HSP000539B400000000</t>
  </si>
  <si>
    <t>https://resolver.staatsbibliothek-berlin.de/HSP00062F8500000000</t>
  </si>
  <si>
    <t>Cod. Donaueschingen 179</t>
  </si>
  <si>
    <t>HSP-6962ca26-be17-327c-8d84-9c57be1c72d0</t>
  </si>
  <si>
    <t>HSP-ae669605-537b-3b2a-b92f-e42ff70f58d3</t>
  </si>
  <si>
    <t>https://resolver.staatsbibliothek-berlin.de/HSP000539B500000000</t>
  </si>
  <si>
    <t>https://resolver.staatsbibliothek-berlin.de/HSP00062F8700000000</t>
  </si>
  <si>
    <t>https://resolver.staatsbibliothek-berlin.de/HSP00062F8800000000</t>
  </si>
  <si>
    <t>Cod. Donaueschingen 187</t>
  </si>
  <si>
    <t>HSP-f5183b0a-5777-3b4c-afe4-8905619a9bb3</t>
  </si>
  <si>
    <t>HSP-fc8ccc9a-019e-351f-9105-de5ac3dca696</t>
  </si>
  <si>
    <t>https://resolver.staatsbibliothek-berlin.de/HSP000539B600000000</t>
  </si>
  <si>
    <t>https://resolver.staatsbibliothek-berlin.de/HSP00062F8600000000</t>
  </si>
  <si>
    <t>https://resolver.staatsbibliothek-berlin.de/HSP000539B700000000</t>
  </si>
  <si>
    <t>75b</t>
  </si>
  <si>
    <t>Cod. Donaueschingen 55</t>
  </si>
  <si>
    <t>HSP-83e032c3-446b-31be-b6ed-f0c602055576</t>
  </si>
  <si>
    <t>HSP-4a4139e8-8bb3-3818-bcbc-3239198dbd1e</t>
  </si>
  <si>
    <t>https://resolver.staatsbibliothek-berlin.de/HSP00062F8A00000000</t>
  </si>
  <si>
    <t>Cod. Donaueschingen 197</t>
  </si>
  <si>
    <t>HSP-1e9dc518-01f6-36fc-841d-9de14ee29ae7</t>
  </si>
  <si>
    <t>HSP-eaaaff5a-92ff-3d3a-b4e2-f7eb15149a44</t>
  </si>
  <si>
    <t>https://resolver.staatsbibliothek-berlin.de/HSP000539B800000000</t>
  </si>
  <si>
    <t>Cod. Donaueschingen 56</t>
  </si>
  <si>
    <t>HSP-c92ae60a-c2fa-3335-bc82-1ac6ea7976ba</t>
  </si>
  <si>
    <t>HSP-0e78d6f0-8cbf-3fa3-bb99-815ac0e1bf75</t>
  </si>
  <si>
    <t>https://resolver.staatsbibliothek-berlin.de/HSP00062F8B00000000</t>
  </si>
  <si>
    <t>Cod. Donaueschingen 204</t>
  </si>
  <si>
    <t>HSP-fd1cab3c-7c80-3361-a705-007fba3e9e46</t>
  </si>
  <si>
    <t>HSP-a03f2f18-75e1-3f13-aed2-b3c48c544b3d</t>
  </si>
  <si>
    <t>https://resolver.staatsbibliothek-berlin.de/HSP000539B900000000</t>
  </si>
  <si>
    <t>Cod. Donaueschingen 58</t>
  </si>
  <si>
    <t>HSP-bc89722a-0f51-383f-b74d-e94a9985120c</t>
  </si>
  <si>
    <t>HSP-bc97293c-0d82-30eb-b574-c58da76f1a4d</t>
  </si>
  <si>
    <t>https://resolver.staatsbibliothek-berlin.de/HSP00062F8D00000000</t>
  </si>
  <si>
    <t>Cod. Donaueschingen 205</t>
  </si>
  <si>
    <t>HSP-baa7d49f-870d-33a1-9094-ec53b19f0f7d</t>
  </si>
  <si>
    <t>HSP-582f64d8-8a08-382b-a519-7297cf579b2d</t>
  </si>
  <si>
    <t>https://resolver.staatsbibliothek-berlin.de/HSP000539BA00000000</t>
  </si>
  <si>
    <t>https://resolver.staatsbibliothek-berlin.de/HSP00062F8900000000</t>
  </si>
  <si>
    <t>Cod. Donaueschingen 206</t>
  </si>
  <si>
    <t>HSP-f0e43cda-df76-393d-9f29-a4f7574e6e30</t>
  </si>
  <si>
    <t>HSP-cc9ae204-f573-33a7-bae9-433db3c7901c</t>
  </si>
  <si>
    <t>https://resolver.staatsbibliothek-berlin.de/HSP000539BB00000000</t>
  </si>
  <si>
    <t>https://resolver.staatsbibliothek-berlin.de/HSP00062F9200000000</t>
  </si>
  <si>
    <t>Cod. Donaueschingen 217</t>
  </si>
  <si>
    <t>HSP-aefab952-dc72-34ac-9ccc-c919038999bf</t>
  </si>
  <si>
    <t>HSP-9a9a0f95-a027-3836-8d06-c301da3434ab</t>
  </si>
  <si>
    <t>https://resolver.staatsbibliothek-berlin.de/HSP000539BC00000000</t>
  </si>
  <si>
    <t>Cod. Donaueschingen A II 10</t>
  </si>
  <si>
    <t>HSP-e641c490-1810-3f16-a0f0-2b2e909cfcaf</t>
  </si>
  <si>
    <t>HSP-7d6ce190-6d6c-319d-a5c4-393ed71536aa</t>
  </si>
  <si>
    <t>https://resolver.staatsbibliothek-berlin.de/HSP00062F8E00000000</t>
  </si>
  <si>
    <t>Cod. Donaueschingen 239</t>
  </si>
  <si>
    <t>HSP-6520f3d2-fada-3521-957c-f37c4064791f</t>
  </si>
  <si>
    <t>HSP-fe4fd3d8-d278-308e-a790-94cefc458a22</t>
  </si>
  <si>
    <t>https://resolver.staatsbibliothek-berlin.de/HSP000539BD00000000</t>
  </si>
  <si>
    <t>Cod. Donaueschingen A III 4</t>
  </si>
  <si>
    <t>HSP-d46acfe4-28cb-3cea-86cb-4194da5df058</t>
  </si>
  <si>
    <t>HSP-579a03d9-1b84-3b81-be6c-af00705d4313</t>
  </si>
  <si>
    <t>https://resolver.staatsbibliothek-berlin.de/HSP00062F9000000000</t>
  </si>
  <si>
    <t>Cod. Donaueschingen 240</t>
  </si>
  <si>
    <t>HSP-29661e30-9c55-3e80-af8c-9b171460a3e1</t>
  </si>
  <si>
    <t>HSP-599001e3-fb67-3683-8ca9-d65fac891eb5</t>
  </si>
  <si>
    <t>https://resolver.staatsbibliothek-berlin.de/HSP000539BE00000000</t>
  </si>
  <si>
    <t>Cod. Donaueschingen 66</t>
  </si>
  <si>
    <t>HSP-a0b0428f-2ef5-34b9-a998-0020e1f73b6f</t>
  </si>
  <si>
    <t>HSP-1244bf27-76de-3d0b-a81e-d57aec934668</t>
  </si>
  <si>
    <t>https://resolver.staatsbibliothek-berlin.de/HSP00062F8C00000000</t>
  </si>
  <si>
    <t>Cod. Donaueschingen 241</t>
  </si>
  <si>
    <t>HSP-551b19e2-01a3-3979-b32b-7919e5f57819</t>
  </si>
  <si>
    <t>Cod. Donaueschingen 74</t>
  </si>
  <si>
    <t>HSP-6bc899f4-2e4a-3bc6-a469-61f4e949eba4</t>
  </si>
  <si>
    <t>https://resolver.staatsbibliothek-berlin.de/HSP000539BF00000000</t>
  </si>
  <si>
    <t>HSP-cc78152f-8987-354e-9903-1e65dc9e41e2</t>
  </si>
  <si>
    <t>HSP-58bc2371-1364-31bf-b940-2959267f60ab</t>
  </si>
  <si>
    <t>https://resolver.staatsbibliothek-berlin.de/HSP00062F8F00000000</t>
  </si>
  <si>
    <t>Cod. Donaueschingen 242</t>
  </si>
  <si>
    <t>Cod. Donaueschingen A III 5</t>
  </si>
  <si>
    <t>HSP-9f53a2ff-96da-30b7-8b5d-c5a6bdcda8a3</t>
  </si>
  <si>
    <t>HSP-06f62480-2d83-3a24-822e-1fdb804accdb</t>
  </si>
  <si>
    <t>https://resolver.staatsbibliothek-berlin.de/HSP000539C000000000</t>
  </si>
  <si>
    <t>HSP-904c35e0-6c91-370a-ae8c-8f4b5721206d</t>
  </si>
  <si>
    <t>HSP-08960ffd-3b1e-39e1-99f3-b9f2d6352951</t>
  </si>
  <si>
    <t>https://resolver.staatsbibliothek-berlin.de/HSP00062F9100000000</t>
  </si>
  <si>
    <t>Cod. Donaueschingen 244</t>
  </si>
  <si>
    <t>HSP-47bb7138-982c-3949-852c-52186b0189f7</t>
  </si>
  <si>
    <t>HSP-27113496-9150-32eb-95c9-cdd4c8144996</t>
  </si>
  <si>
    <t>https://resolver.staatsbibliothek-berlin.de/HSP000539C100000000</t>
  </si>
  <si>
    <t>https://resolver.staatsbibliothek-berlin.de/HSP00062F9400000000</t>
  </si>
  <si>
    <t>Cod. Donaueschingen 63</t>
  </si>
  <si>
    <t>Cod. Donaueschingen 245</t>
  </si>
  <si>
    <t>HSP-aac5d34b-d41a-3d75-aa1c-f4c97b6d6fd4</t>
  </si>
  <si>
    <t>HSP-ea91c7ad-4d93-3fb4-8faf-1301b1dba70c</t>
  </si>
  <si>
    <t>https://resolver.staatsbibliothek-berlin.de/HSP00062F9300000000</t>
  </si>
  <si>
    <t>HSP-ed85670e-d3dd-3e94-bd8c-531e77906fe5</t>
  </si>
  <si>
    <t>HSP-41cb95c3-8fc0-3bb9-8bea-2247b7990532</t>
  </si>
  <si>
    <t>https://resolver.staatsbibliothek-berlin.de/HSP000539C200000000</t>
  </si>
  <si>
    <t>Cod. Donaueschingen 54</t>
  </si>
  <si>
    <t>Cod. Donaueschingen 273</t>
  </si>
  <si>
    <t>HSP-438883f5-0ea0-3100-a32d-29eb857a466b</t>
  </si>
  <si>
    <t>HSP-26fa3e6e-3488-3317-8b2c-f4fbc76467d8</t>
  </si>
  <si>
    <t>https://resolver.staatsbibliothek-berlin.de/HSP00062F9900000000</t>
  </si>
  <si>
    <t>HSP-670fab85-bda3-3cfa-9bba-70d30ef6f88a</t>
  </si>
  <si>
    <t>HSP-e88a7009-58a5-3364-a8e9-06df419c4a31</t>
  </si>
  <si>
    <t>https://resolver.staatsbibliothek-berlin.de/HSP000539C300000000</t>
  </si>
  <si>
    <t>https://resolver.staatsbibliothek-berlin.de/HSP00062F9A00000000</t>
  </si>
  <si>
    <t>Cod. Donaueschingen 290</t>
  </si>
  <si>
    <t>HSP-67ffdfc2-472d-3232-bc99-839a51ead83a</t>
  </si>
  <si>
    <t>HSP-e28ed1a1-1ed9-38f3-88f3-6c40fd718404</t>
  </si>
  <si>
    <t>67, 178</t>
  </si>
  <si>
    <t>https://resolver.staatsbibliothek-berlin.de/HSP000539C400000000</t>
  </si>
  <si>
    <t>Cod. Donaueschingen 762</t>
  </si>
  <si>
    <t>HSP-1f910df2-75e3-3c0e-874b-ad29bfad1d5e</t>
  </si>
  <si>
    <t>HSP-d3384c82-8f74-3da1-ab03-a76d8b4c1ec9</t>
  </si>
  <si>
    <t>https://resolver.staatsbibliothek-berlin.de/HSP00062F9700000000</t>
  </si>
  <si>
    <t>Cod. Donaueschingen 292</t>
  </si>
  <si>
    <t>HSP-2aee421c-ea4e-3908-8edb-c57e17105730</t>
  </si>
  <si>
    <t>HSP-42e563ca-865f-3a8a-b852-08d22fadbd94</t>
  </si>
  <si>
    <t>https://resolver.staatsbibliothek-berlin.de/HSP000539C500000000</t>
  </si>
  <si>
    <t>Cod. Donaueschingen 455</t>
  </si>
  <si>
    <t>HSP-2246674e-2b03-3233-b06f-2d3b13be83da</t>
  </si>
  <si>
    <t>HSP-ee7c92a3-6665-3cd7-a94e-8fc7660d9916</t>
  </si>
  <si>
    <t>https://resolver.staatsbibliothek-berlin.de/HSP00062F9800000000</t>
  </si>
  <si>
    <t>Cod. Donaueschingen 293</t>
  </si>
  <si>
    <t>HSP-1bedf64f-14ea-3417-a6ba-99ac30c589a6</t>
  </si>
  <si>
    <t>HSP-09f6fc3b-1389-3993-83d7-df6fdfcdea75</t>
  </si>
  <si>
    <t>https://resolver.staatsbibliothek-berlin.de/HSP000539C600000000</t>
  </si>
  <si>
    <t>https://resolver.staatsbibliothek-berlin.de/HSP00062F9600000000</t>
  </si>
  <si>
    <t>Cod. Donaueschingen 294</t>
  </si>
  <si>
    <t>HSP-93144b70-89df-3ced-8bf5-4afb4b1f3059</t>
  </si>
  <si>
    <t>HSP-d07d593e-5605-3b80-b764-021a75d404db</t>
  </si>
  <si>
    <t>https://resolver.staatsbibliothek-berlin.de/HSP000539C700000000</t>
  </si>
  <si>
    <t>https://resolver.staatsbibliothek-berlin.de/HSP00062F9B00000000</t>
  </si>
  <si>
    <t>Cod. Donaueschingen 295</t>
  </si>
  <si>
    <t>HSP-a432cab3-86aa-3b14-bfa8-7d86ce39d95a</t>
  </si>
  <si>
    <t>HSP-9e711719-74a0-3af5-8764-6530104938cf</t>
  </si>
  <si>
    <t>https://resolver.staatsbibliothek-berlin.de/HSP000539C800000000</t>
  </si>
  <si>
    <t>https://resolver.staatsbibliothek-berlin.de/HSP00062F9D00000000</t>
  </si>
  <si>
    <t>Cod. Donaueschingen 296</t>
  </si>
  <si>
    <t>HSP-a71309e5-943b-3177-a110-56539d4eed6d</t>
  </si>
  <si>
    <t>HSP-459382ec-47a1-3f0c-91d0-ef03a0f656c3</t>
  </si>
  <si>
    <t>https://resolver.staatsbibliothek-berlin.de/HSP000539C900000000</t>
  </si>
  <si>
    <t>https://resolver.staatsbibliothek-berlin.de/HSP00062F9500000000</t>
  </si>
  <si>
    <t>Cod. Donaueschingen 297</t>
  </si>
  <si>
    <t>HSP-7aec103d-4a1d-399f-9165-216dc4fc08d2</t>
  </si>
  <si>
    <t>HSP-da8508df-11ed-3cca-b5e4-6072e8815319</t>
  </si>
  <si>
    <t>https://resolver.staatsbibliothek-berlin.de/HSP000539CA00000000</t>
  </si>
  <si>
    <t>https://resolver.staatsbibliothek-berlin.de/HSP00062FA800000000</t>
  </si>
  <si>
    <t>Cod. Donaueschingen 298</t>
  </si>
  <si>
    <t>HSP-e8dd3dfc-1b6e-3b29-a33b-b85e07b57cfc</t>
  </si>
  <si>
    <t>HSP-d458bb3d-b731-3797-8a81-f77e40f2fc03</t>
  </si>
  <si>
    <t>https://resolver.staatsbibliothek-berlin.de/HSP000539CB00000000</t>
  </si>
  <si>
    <t>https://resolver.staatsbibliothek-berlin.de/HSP00062FA400000000</t>
  </si>
  <si>
    <t>Cod. Donaueschingen 312</t>
  </si>
  <si>
    <t>Cod. Donaueschingen 77</t>
  </si>
  <si>
    <t>HSP-7c9e4639-d7be-3a4b-a7f2-fcbfa0b394cc</t>
  </si>
  <si>
    <t>HSP-18f8f431-7848-303b-a5ab-c91bf28004d4</t>
  </si>
  <si>
    <t>https://resolver.staatsbibliothek-berlin.de/HSP000539CC00000000</t>
  </si>
  <si>
    <t>HSP-d77acc6a-9c7d-30d3-ab68-f0722882a7f6</t>
  </si>
  <si>
    <t>HSP-5c995ce7-c173-37ac-a5b4-2f05414e1fbd</t>
  </si>
  <si>
    <t>https://resolver.staatsbibliothek-berlin.de/HSP00062F9C00000000</t>
  </si>
  <si>
    <t>Cod. Donaueschingen 97</t>
  </si>
  <si>
    <t>Cod. Donaueschingen 314</t>
  </si>
  <si>
    <t>HSP-2c2ba405-b03b-392b-8111-15e2b0ab425a</t>
  </si>
  <si>
    <t>HSP-88e91ea1-5aee-339a-86dc-5cc7c3711369</t>
  </si>
  <si>
    <t>HSP-49df2b1e-34b8-3a54-b67e-0d1001e766ea</t>
  </si>
  <si>
    <t>https://resolver.staatsbibliothek-berlin.de/HSP00062FA100000000</t>
  </si>
  <si>
    <t>HSP-ac7a0c22-7209-3b13-a315-b4a3f190c46e</t>
  </si>
  <si>
    <t>https://resolver.staatsbibliothek-berlin.de/HSP000539CD00000000</t>
  </si>
  <si>
    <t>Cod. Donaueschingen 79</t>
  </si>
  <si>
    <t>Cod. Donaueschingen 319</t>
  </si>
  <si>
    <t>HSP-2e02541f-ffab-3465-af13-f34e726565ce</t>
  </si>
  <si>
    <t>HSP-9bc80794-51fd-3e33-94b8-4b1602ed6faa</t>
  </si>
  <si>
    <t>HSP-d884c8d3-2ac9-38b2-8a4d-d403a0bbee61</t>
  </si>
  <si>
    <t>https://resolver.staatsbibliothek-berlin.de/HSP00062F9E00000000</t>
  </si>
  <si>
    <t>HSP-e93c18e7-6a57-368f-b430-48bd4f5f0c0d</t>
  </si>
  <si>
    <t>https://resolver.staatsbibliothek-berlin.de/HSP000539CE00000000</t>
  </si>
  <si>
    <t>Cod. Donaueschingen 331</t>
  </si>
  <si>
    <t>HSP-7b3ce7be-2fcf-3752-b42d-331ee4d42ece</t>
  </si>
  <si>
    <t>https://resolver.staatsbibliothek-berlin.de/HSP00062FA600000000</t>
  </si>
  <si>
    <t>HSP-2ff5ead1-51f9-3178-bb3b-d17d21248584</t>
  </si>
  <si>
    <t>https://resolver.staatsbibliothek-berlin.de/HSP000539CF00000000</t>
  </si>
  <si>
    <t>Cod. Donaueschingen 352</t>
  </si>
  <si>
    <t>https://resolver.staatsbibliothek-berlin.de/HSP00062FA500000000</t>
  </si>
  <si>
    <t>HSP-69ba850f-2a19-3eb6-ba1b-d94ebcf5adee</t>
  </si>
  <si>
    <t>HSP-62199fe0-4b37-332b-b31f-6fb3a8dac185</t>
  </si>
  <si>
    <t>https://resolver.staatsbibliothek-berlin.de/HSP000539D000000000</t>
  </si>
  <si>
    <t>Cod. Donaueschingen 354</t>
  </si>
  <si>
    <t>Cod. Donaueschingen 96</t>
  </si>
  <si>
    <t>HSP-60a3235e-1f55-3185-a21d-30c0f6391cb7</t>
  </si>
  <si>
    <t>HSP-f212537a-04be-3172-a8a7-f57863d6d0ae</t>
  </si>
  <si>
    <t>HSP-935bced8-50da-38de-94c8-1b8670a3605e</t>
  </si>
  <si>
    <t>HSP-6880d28c-ffc6-39f6-9e97-f62744364a6a</t>
  </si>
  <si>
    <t>https://resolver.staatsbibliothek-berlin.de/HSP000539D100000000</t>
  </si>
  <si>
    <t>https://resolver.staatsbibliothek-berlin.de/HSP00062FA000000000</t>
  </si>
  <si>
    <t>Cod. Donaueschingen 356</t>
  </si>
  <si>
    <t>Cod. Donaueschingen 82</t>
  </si>
  <si>
    <t>HSP-9971770d-2521-3b11-b0da-6b61fb0ee319</t>
  </si>
  <si>
    <t>HSP-fbbba62d-5ece-309e-880b-9a07383dcc8f</t>
  </si>
  <si>
    <t>https://resolver.staatsbibliothek-berlin.de/HSP000539D200000000</t>
  </si>
  <si>
    <t>HSP-3cd2b544-4afc-3731-ab21-049c0af76415</t>
  </si>
  <si>
    <t>HSP-7ecb5382-7f93-39c9-b79c-81638bfa2791</t>
  </si>
  <si>
    <t>https://resolver.staatsbibliothek-berlin.de/HSP00062F9F00000000</t>
  </si>
  <si>
    <t>Cod. Donaueschingen 357</t>
  </si>
  <si>
    <t>HSP-0965d9c0-3689-30a3-8422-7a03edf58264</t>
  </si>
  <si>
    <t>HSP-2a85f1da-4c49-384e-b5c7-901e81d0d597</t>
  </si>
  <si>
    <t>https://resolver.staatsbibliothek-berlin.de/HSP000539D300000000</t>
  </si>
  <si>
    <t>https://resolver.staatsbibliothek-berlin.de/HSP00062FA700000000</t>
  </si>
  <si>
    <t>Cod. Donaueschingen 362</t>
  </si>
  <si>
    <t>HSP-bf8153fd-b02d-3dff-9a92-5c4271721862</t>
  </si>
  <si>
    <t>HSP-28f8ec31-23af-3562-b95e-8f2d93942348</t>
  </si>
  <si>
    <t>https://resolver.staatsbibliothek-berlin.de/HSP000539D400000000</t>
  </si>
  <si>
    <t>https://resolver.staatsbibliothek-berlin.de/HSP00062FA200000000</t>
  </si>
  <si>
    <t>Cod. Donaueschingen 364</t>
  </si>
  <si>
    <t>HSP-e5cebf03-8d10-3873-baf4-0b3d54d3a5b8</t>
  </si>
  <si>
    <t>HSP-8fd33847-fe3e-305a-bc16-957485b5e66a</t>
  </si>
  <si>
    <t>https://resolver.staatsbibliothek-berlin.de/HSP000539D500000000</t>
  </si>
  <si>
    <t>https://resolver.staatsbibliothek-berlin.de/HSP00062FA300000000</t>
  </si>
  <si>
    <t>Cod. Donaueschingen 367</t>
  </si>
  <si>
    <t>HSP-638bf99b-426d-376b-ae8a-ab7c8ef72b5d</t>
  </si>
  <si>
    <t>HSP-cc7de7f4-1ffc-383d-875c-12d2e11e8ca8</t>
  </si>
  <si>
    <t>https://resolver.staatsbibliothek-berlin.de/HSP000539D600000000</t>
  </si>
  <si>
    <t>Cod. Donaueschingen 92</t>
  </si>
  <si>
    <t>HSP-854947fb-e7de-32d1-8431-ae6afc0591bd</t>
  </si>
  <si>
    <t>HSP-8df42ad4-2ba9-3daf-a420-8625cd037ac7</t>
  </si>
  <si>
    <t>https://resolver.staatsbibliothek-berlin.de/HSP00062FAC00000000</t>
  </si>
  <si>
    <t>Cod. Donaueschingen 403</t>
  </si>
  <si>
    <t>HSP-d4378ed3-4a96-3f60-98b1-bdf1d67a32f6</t>
  </si>
  <si>
    <t>HSP-6ed88f98-04b2-327b-b2e6-fdd99e3bee15</t>
  </si>
  <si>
    <t>https://resolver.staatsbibliothek-berlin.de/HSP000539D700000000</t>
  </si>
  <si>
    <t>https://resolver.staatsbibliothek-berlin.de/HSP00062FAE00000000</t>
  </si>
  <si>
    <t>Cod. Donaueschingen 420</t>
  </si>
  <si>
    <t>HSP-f3a106a0-ccf2-3f62-a106-210fd39b8ba7</t>
  </si>
  <si>
    <t>HSP-5fd802e5-acb1-323d-aa47-52e866f6e4a5</t>
  </si>
  <si>
    <t>https://resolver.staatsbibliothek-berlin.de/HSP000539D800000000</t>
  </si>
  <si>
    <t>https://resolver.staatsbibliothek-berlin.de/HSP00062FAB00000000</t>
  </si>
  <si>
    <t>Cod. Donaueschingen 421</t>
  </si>
  <si>
    <t>HSP-b029486d-df2d-3588-9904-0dffa29f3aa7</t>
  </si>
  <si>
    <t>HSP-c66f11b1-6c95-339e-a076-1967f0ab7af0</t>
  </si>
  <si>
    <t>https://resolver.staatsbibliothek-berlin.de/HSP000539D900000000</t>
  </si>
  <si>
    <t>Cod. Donaueschingen 93</t>
  </si>
  <si>
    <t>HSP-3c89e110-6b7a-333b-b8a7-03d22565b15e</t>
  </si>
  <si>
    <t>HSP-996a8ab7-2ad5-3dac-86dc-d9a7fc02637d</t>
  </si>
  <si>
    <t>https://resolver.staatsbibliothek-berlin.de/HSP00062FAD00000000</t>
  </si>
  <si>
    <t>Cod. Donaueschingen 422</t>
  </si>
  <si>
    <t>HSP-23f4289f-2dcd-3851-8d5d-7223a28c4959</t>
  </si>
  <si>
    <t>HSP-0a1bbef2-9ecd-3313-a619-079c97bbe6a7</t>
  </si>
  <si>
    <t>https://resolver.staatsbibliothek-berlin.de/HSP000539DA00000000</t>
  </si>
  <si>
    <t>Cod. Donaueschingen A III 3</t>
  </si>
  <si>
    <t>HSP-4ef87e9b-8f61-3f60-a9aa-9f465b35d3fc</t>
  </si>
  <si>
    <t>HSP-9e9fb13b-fefe-3c69-826f-7488fda60e67</t>
  </si>
  <si>
    <t>https://resolver.staatsbibliothek-berlin.de/HSP00062FAA00000000</t>
  </si>
  <si>
    <t>Cod. Donaueschingen 423</t>
  </si>
  <si>
    <t>HSP-7d591428-f8eb-3f54-9bb5-27884bed31e0</t>
  </si>
  <si>
    <t>HSP-96372089-f778-3e85-8a5f-30bfe5407e13</t>
  </si>
  <si>
    <t>https://resolver.staatsbibliothek-berlin.de/HSP000539DB00000000</t>
  </si>
  <si>
    <t>Cod. Donaueschingen 793</t>
  </si>
  <si>
    <t>HSP-0b1c1b13-d5e2-325d-87a4-9dd6871daeb0</t>
  </si>
  <si>
    <t>HSP-09bc9f59-d645-3ebb-87ad-2519a07e0c25</t>
  </si>
  <si>
    <t>https://resolver.staatsbibliothek-berlin.de/HSP00062FA900000000</t>
  </si>
  <si>
    <t>Cod. Donaueschingen 424</t>
  </si>
  <si>
    <t>HSP-de4af3b9-3644-3e1a-9fa4-ad5d8d87450c</t>
  </si>
  <si>
    <t>HSP-5b0f6211-ff75-35f6-86d7-56b920159955</t>
  </si>
  <si>
    <t>https://resolver.staatsbibliothek-berlin.de/HSP000539DC00000000</t>
  </si>
  <si>
    <t>https://resolver.staatsbibliothek-berlin.de/HSP00062FAF00000000</t>
  </si>
  <si>
    <t>Cod. Donaueschingen 447a</t>
  </si>
  <si>
    <t>HSP-5b91eb93-d2c0-3ac1-acd1-ab7d77ca167b</t>
  </si>
  <si>
    <t>HSP-630f9415-c9e2-3f22-9f0a-ca49dca83b5b</t>
  </si>
  <si>
    <t>https://resolver.staatsbibliothek-berlin.de/HSP000539DD00000000</t>
  </si>
  <si>
    <t>https://resolver.staatsbibliothek-berlin.de/HSP00062FB600000000</t>
  </si>
  <si>
    <t>Cod. Donaueschingen 447b</t>
  </si>
  <si>
    <t>HSP-aa927260-4a2a-3805-b1b8-9cf5d29f3816</t>
  </si>
  <si>
    <t>HSP-d8971b2c-2c52-31d5-95fb-e7dc867cfa5f</t>
  </si>
  <si>
    <t>https://resolver.staatsbibliothek-berlin.de/HSP000539DE00000000</t>
  </si>
  <si>
    <t>https://resolver.staatsbibliothek-berlin.de/HSP00062FB200000000</t>
  </si>
  <si>
    <t>Cod. Donaueschingen 451</t>
  </si>
  <si>
    <t>HSP-68ee596d-741d-30c8-8873-fc4d70eae1e5</t>
  </si>
  <si>
    <t>HSP-b2d3955e-97b3-3c53-a699-51be9dc0caeb</t>
  </si>
  <si>
    <t>https://resolver.staatsbibliothek-berlin.de/HSP000539DF00000000</t>
  </si>
  <si>
    <t>https://resolver.staatsbibliothek-berlin.de/HSP00062FB500000000</t>
  </si>
  <si>
    <t>Cod. Donaueschingen 453</t>
  </si>
  <si>
    <t>HSP-a113e2a8-69bf-3e21-b3e4-318622c15428</t>
  </si>
  <si>
    <t>HSP-7d9cd992-ba1b-3d4d-a75c-1452afb65b1d</t>
  </si>
  <si>
    <t>https://resolver.staatsbibliothek-berlin.de/HSP000539E000000000</t>
  </si>
  <si>
    <t>https://resolver.staatsbibliothek-berlin.de/HSP00062FB400000000</t>
  </si>
  <si>
    <t>https://resolver.staatsbibliothek-berlin.de/HSP000539E100000000</t>
  </si>
  <si>
    <t>https://resolver.staatsbibliothek-berlin.de/HSP00062FB900000000</t>
  </si>
  <si>
    <t>Cod. Donaueschingen 456</t>
  </si>
  <si>
    <t>HSP-eda7be67-7567-3c55-b36c-54527a9adcd8</t>
  </si>
  <si>
    <t>HSP-03c7ef30-1e52-3dc8-a64e-1816835c4240</t>
  </si>
  <si>
    <t>https://resolver.staatsbibliothek-berlin.de/HSP000539E200000000</t>
  </si>
  <si>
    <t>https://resolver.staatsbibliothek-berlin.de/HSP00062FB100000000</t>
  </si>
  <si>
    <t>Cod. Donaueschingen 467</t>
  </si>
  <si>
    <t>HSP-ea80a0fc-9e8a-39e2-8b65-7e54c04d7507</t>
  </si>
  <si>
    <t>HSP-d008b9c6-6b87-360f-8aa7-694131aacce3</t>
  </si>
  <si>
    <t>https://resolver.staatsbibliothek-berlin.de/HSP000539E300000000</t>
  </si>
  <si>
    <t>https://resolver.staatsbibliothek-berlin.de/HSP00062FB800000000</t>
  </si>
  <si>
    <t>https://resolver.staatsbibliothek-berlin.de/HSP000539E400000000</t>
  </si>
  <si>
    <t>Cod. Donaueschingen 99</t>
  </si>
  <si>
    <t>HSP-948528f7-2e9c-3da8-a5ca-5a5982adced1</t>
  </si>
  <si>
    <t>HSP-85e1ee08-8091-3c90-8b93-b1df50651de3</t>
  </si>
  <si>
    <t>https://resolver.staatsbibliothek-berlin.de/HSP00062FB300000000</t>
  </si>
  <si>
    <t>https://resolver.staatsbibliothek-berlin.de/HSP000539E500000000</t>
  </si>
  <si>
    <t>Cod. Donaueschingen 95</t>
  </si>
  <si>
    <t>HSP-5679c19f-1d18-3205-bf65-d88474dc14b3</t>
  </si>
  <si>
    <t>HSP-9bff85dc-55e4-31cb-8cde-2ae62e8d3ebc</t>
  </si>
  <si>
    <t>https://resolver.staatsbibliothek-berlin.de/HSP00062FB000000000</t>
  </si>
  <si>
    <t>https://resolver.staatsbibliothek-berlin.de/HSP00062FB700000000</t>
  </si>
  <si>
    <t>https://resolver.staatsbibliothek-berlin.de/HSP000539E600000000</t>
  </si>
  <si>
    <t>105a</t>
  </si>
  <si>
    <t>https://resolver.staatsbibliothek-berlin.de/HSP00062FBB00000000</t>
  </si>
  <si>
    <t>https://resolver.staatsbibliothek-berlin.de/HSP000539E700000000</t>
  </si>
  <si>
    <t>https://resolver.staatsbibliothek-berlin.de/HSP00062FBC00000000</t>
  </si>
  <si>
    <t>https://resolver.staatsbibliothek-berlin.de/HSP000539E800000000</t>
  </si>
  <si>
    <t>https://resolver.staatsbibliothek-berlin.de/HSP00062FBA00000000</t>
  </si>
  <si>
    <t>https://resolver.staatsbibliothek-berlin.de/HSP000539E900000000</t>
  </si>
  <si>
    <t>https://resolver.staatsbibliothek-berlin.de/HSP00062FBF00000000</t>
  </si>
  <si>
    <t>https://resolver.staatsbibliothek-berlin.de/HSP000539EA00000000</t>
  </si>
  <si>
    <t>Cod. Donaueschingen A III 19</t>
  </si>
  <si>
    <t>105b</t>
  </si>
  <si>
    <t>HSP-32255df4-5ffa-3aec-a373-a0174c9ad78b</t>
  </si>
  <si>
    <t>HSP-9a92750c-8d5d-388c-914e-c5e85a621527</t>
  </si>
  <si>
    <t>https://resolver.staatsbibliothek-berlin.de/HSP00062FC300000000</t>
  </si>
  <si>
    <t>https://resolver.staatsbibliothek-berlin.de/HSP000539EB00000000</t>
  </si>
  <si>
    <t>https://resolver.staatsbibliothek-berlin.de/HSP00062FC100000000</t>
  </si>
  <si>
    <t>https://resolver.staatsbibliothek-berlin.de/HSP000539EC00000000</t>
  </si>
  <si>
    <t>Cod. Donaueschingen A III 53</t>
  </si>
  <si>
    <t>HSP-89852891-dd39-388a-bb72-e2a671d0af30</t>
  </si>
  <si>
    <t>HSP-7fe3b08c-e834-3a19-9fa4-3c821354904c</t>
  </si>
  <si>
    <t>https://resolver.staatsbibliothek-berlin.de/HSP00062FCD00000000</t>
  </si>
  <si>
    <t>Cod. Donaueschingen 57</t>
  </si>
  <si>
    <t>HSP-bb076424-cc7a-3045-ad68-b3523de26e60</t>
  </si>
  <si>
    <t>HSP-7155f206-6204-35b3-a75c-cc36720fbc06</t>
  </si>
  <si>
    <t>https://resolver.staatsbibliothek-berlin.de/HSP000539ED00000000</t>
  </si>
  <si>
    <t>https://resolver.staatsbibliothek-berlin.de/HSP00062FBD00000000</t>
  </si>
  <si>
    <t>https://resolver.staatsbibliothek-berlin.de/HSP000539EE00000000</t>
  </si>
  <si>
    <t>https://resolver.staatsbibliothek-berlin.de/HSP00062FC200000000</t>
  </si>
  <si>
    <t>105c</t>
  </si>
  <si>
    <t>https://resolver.staatsbibliothek-berlin.de/HSP000539EF00000000</t>
  </si>
  <si>
    <t>Cod. Donaueschingen A III 20</t>
  </si>
  <si>
    <t>HSP-6d88bfc2-0f97-352f-8696-df3954666bfc</t>
  </si>
  <si>
    <t>HSP-644ede30-25c7-371d-9938-ba951cfd94f7</t>
  </si>
  <si>
    <t>https://resolver.staatsbibliothek-berlin.de/HSP00062FC400000000</t>
  </si>
  <si>
    <t>https://resolver.staatsbibliothek-berlin.de/HSP000539F000000000</t>
  </si>
  <si>
    <t>Cod. Donaueschingen A III 50</t>
  </si>
  <si>
    <t>HSP-a05a1426-e65b-350d-9025-bc6212f257c9</t>
  </si>
  <si>
    <t>HSP-9bd19867-9303-34f8-b017-cee9090708b9</t>
  </si>
  <si>
    <t>https://resolver.staatsbibliothek-berlin.de/HSP00062FCE00000000</t>
  </si>
  <si>
    <t>https://resolver.staatsbibliothek-berlin.de/HSP000539F100000000</t>
  </si>
  <si>
    <t>https://resolver.staatsbibliothek-berlin.de/HSP00062FC000000000</t>
  </si>
  <si>
    <t>183, 25</t>
  </si>
  <si>
    <t>Cod. Donaueschingen A III 6</t>
  </si>
  <si>
    <t>HSP-a36369a7-192b-3b5a-abc1-baabb56108ab</t>
  </si>
  <si>
    <t>HSP-1278a46e-1122-32e6-a144-3d838df52978</t>
  </si>
  <si>
    <t>https://resolver.staatsbibliothek-berlin.de/HSP000539F200000000</t>
  </si>
  <si>
    <t>https://resolver.staatsbibliothek-berlin.de/HSP00062FC500000000</t>
  </si>
  <si>
    <t>Cod. Donaueschingen A III 28</t>
  </si>
  <si>
    <t>HSP-d6d7b4f9-2549-348a-bc96-2adde73bd4c5</t>
  </si>
  <si>
    <t>HSP-beafff94-3ba2-3968-a2e6-7a2b840548fa</t>
  </si>
  <si>
    <t>https://resolver.staatsbibliothek-berlin.de/HSP00062FCB00000000</t>
  </si>
  <si>
    <t>https://resolver.staatsbibliothek-berlin.de/HSP000539F300000000</t>
  </si>
  <si>
    <t>https://resolver.staatsbibliothek-berlin.de/HSP00062FBE00000000</t>
  </si>
  <si>
    <t>https://resolver.staatsbibliothek-berlin.de/HSP000539F400000000</t>
  </si>
  <si>
    <t>Cod. Donaueschingen A III 24</t>
  </si>
  <si>
    <t>HSP-3573036e-8b9b-3b38-8e24-a6baa6db5234</t>
  </si>
  <si>
    <t>HSP-c8540b69-8a7f-3ffc-87c2-aea31b3e8c37</t>
  </si>
  <si>
    <t>https://resolver.staatsbibliothek-berlin.de/HSP00062FCA00000000</t>
  </si>
  <si>
    <t>https://resolver.staatsbibliothek-berlin.de/HSP000539F500000000</t>
  </si>
  <si>
    <t>Cod. Donaueschingen A III 22</t>
  </si>
  <si>
    <t>HSP-ce6916f0-d982-3528-a86c-1db7d839f497</t>
  </si>
  <si>
    <t>HSP-433e4010-ce6f-360d-ade8-c0bfc8bfff07</t>
  </si>
  <si>
    <t>https://resolver.staatsbibliothek-berlin.de/HSP00062FC600000000</t>
  </si>
  <si>
    <t>HSP-f9c5118e-0799-4402-b7fb-ce64a2890b3a HSP-93896de0-0507-3f8b-8aa7-42e6d527d914 HSP-14bd8f73-6d70-3d5e-9560-015f486b098b</t>
  </si>
  <si>
    <t>https://resolver.staatsbibliothek-berlin.de/HSP000539F600000000</t>
  </si>
  <si>
    <t>Cod. Donaueschingen A III 12</t>
  </si>
  <si>
    <t>HSP-98be83b7-db21-3095-81ec-6523e852483f</t>
  </si>
  <si>
    <t>HSP-f9e7344b-6596-3668-a14f-66239c39570b</t>
  </si>
  <si>
    <t>https://resolver.staatsbibliothek-berlin.de/HSP00062FC700000000</t>
  </si>
  <si>
    <t>https://resolver.staatsbibliothek-berlin.de/HSP000539F700000000</t>
  </si>
  <si>
    <t>Cod. Donaueschingen A III 9</t>
  </si>
  <si>
    <t>HSP-b3394545-d118-35f4-9959-0fc57fd7b47e</t>
  </si>
  <si>
    <t>HSP-fe9c65d1-60ed-35c2-971e-d5ce98e65b3f</t>
  </si>
  <si>
    <t>https://resolver.staatsbibliothek-berlin.de/HSP00062FC800000000</t>
  </si>
  <si>
    <t>https://resolver.staatsbibliothek-berlin.de/HSP000539F800000000</t>
  </si>
  <si>
    <t>Cod. Donaueschingen A III 23</t>
  </si>
  <si>
    <t>HSP-edb0e4fd-f3e0-3057-96cb-da996a6bc4c3</t>
  </si>
  <si>
    <t>HSP-53d156e8-331b-3c07-be28-d322e5439ebd</t>
  </si>
  <si>
    <t>https://resolver.staatsbibliothek-berlin.de/HSP00062FC900000000</t>
  </si>
  <si>
    <t>https://resolver.staatsbibliothek-berlin.de/HSP000539F900000000</t>
  </si>
  <si>
    <t>Cod. Donaueschingen A III 35</t>
  </si>
  <si>
    <t>HSP-31ee2b72-fc75-3617-8a1c-3a215b245592</t>
  </si>
  <si>
    <t>HSP-7e669195-6b55-3718-a084-916637eb0984</t>
  </si>
  <si>
    <t>https://resolver.staatsbibliothek-berlin.de/HSP00062FCC00000000</t>
  </si>
  <si>
    <t>https://resolver.staatsbibliothek-berlin.de/HSP000539FA00000000</t>
  </si>
  <si>
    <t>Cod. Donaueschingen A III 10</t>
  </si>
  <si>
    <t>HSP-60942219-69b8-37d0-9ec6-5dee6abb478c</t>
  </si>
  <si>
    <t>HSP-a93e0102-f249-33f4-b433-fd6c9aa34a7e</t>
  </si>
  <si>
    <t>https://resolver.staatsbibliothek-berlin.de/HSP00062FD000000000</t>
  </si>
  <si>
    <t>https://resolver.staatsbibliothek-berlin.de/HSP00062FD200000000</t>
  </si>
  <si>
    <t>https://resolver.staatsbibliothek-berlin.de/HSP000539FB00000000</t>
  </si>
  <si>
    <t>Cod. Donaueschingen A II 24</t>
  </si>
  <si>
    <t>HSP-c5aa2498-60da-36a5-b3f0-834513229e8d</t>
  </si>
  <si>
    <t>HSP-77aa73fb-d5ac-3575-8fde-77842356643a</t>
  </si>
  <si>
    <t>https://resolver.staatsbibliothek-berlin.de/HSP00062FD100000000</t>
  </si>
  <si>
    <t>https://resolver.staatsbibliothek-berlin.de/HSP000539FC00000000</t>
  </si>
  <si>
    <t>https://resolver.staatsbibliothek-berlin.de/HSP00062FCF00000000</t>
  </si>
  <si>
    <t>Cod. Donaueschingen A III 2</t>
  </si>
  <si>
    <t>HSP-dd10f4a8-5c24-3992-b067-05c483dd46d5</t>
  </si>
  <si>
    <t>HSP-477e5c12-481d-348c-bfcf-e04c9b34cca2</t>
  </si>
  <si>
    <t>https://resolver.staatsbibliothek-berlin.de/HSP00062FD400000000</t>
  </si>
  <si>
    <t>https://resolver.staatsbibliothek-berlin.de/HSP000539FD00000000</t>
  </si>
  <si>
    <t>Cod. Donaueschingen A III 57</t>
  </si>
  <si>
    <t>HSP-b03c7496-44a2-3bd5-bd7d-ea55dbc049f6</t>
  </si>
  <si>
    <t>HSP-b06117d8-8826-37fb-a931-c583f131bdec</t>
  </si>
  <si>
    <t>https://resolver.staatsbibliothek-berlin.de/HSP00062FD300000000</t>
  </si>
  <si>
    <t>https://resolver.staatsbibliothek-berlin.de/HSP000539FE00000000</t>
  </si>
  <si>
    <t>https://resolver.staatsbibliothek-berlin.de/HSP00062FD500000000</t>
  </si>
  <si>
    <t>https://resolver.staatsbibliothek-berlin.de/HSP000539FF00000000</t>
  </si>
  <si>
    <t>Cod. Donaueschingen A III 56b</t>
  </si>
  <si>
    <t>HSP-43b86ba8-dd21-3e45-ad05-0de176eb81a6</t>
  </si>
  <si>
    <t>HSP-73276fd7-b647-3717-9195-179d8a2aa351</t>
  </si>
  <si>
    <t>https://resolver.staatsbibliothek-berlin.de/HSP00062FD900000000</t>
  </si>
  <si>
    <t>https://resolver.staatsbibliothek-berlin.de/HSP00053A0000000000</t>
  </si>
  <si>
    <t>Cod. Donaueschingen A III 32</t>
  </si>
  <si>
    <t>HSP-65027489-2a17-3db8-b125-4704aa702477</t>
  </si>
  <si>
    <t>HSP-06723de7-0f11-36ab-82a6-7fc952066bfd</t>
  </si>
  <si>
    <t>https://resolver.staatsbibliothek-berlin.de/HSP00062FD600000000</t>
  </si>
  <si>
    <t>111a</t>
  </si>
  <si>
    <t>https://resolver.staatsbibliothek-berlin.de/HSP00053A0100000000</t>
  </si>
  <si>
    <t>180, 184</t>
  </si>
  <si>
    <t>Cod. Donaueschingen A III 56a</t>
  </si>
  <si>
    <t>HSP-385ef8e7-feb0-35d9-841b-f34bfd3e8af7</t>
  </si>
  <si>
    <t>HSP-2e9ef423-2910-34be-9b69-f95d83963db0</t>
  </si>
  <si>
    <t>https://resolver.staatsbibliothek-berlin.de/HSP00062FD800000000</t>
  </si>
  <si>
    <t>https://resolver.staatsbibliothek-berlin.de/HSP00053A0200000000</t>
  </si>
  <si>
    <t>Cod. Donaueschingen A III 33</t>
  </si>
  <si>
    <t>HSP-546b59d8-cac1-3e0f-b950-323da188941f</t>
  </si>
  <si>
    <t>HSP-33e59cc2-cc87-3989-920d-4da037c06a51</t>
  </si>
  <si>
    <t>https://resolver.staatsbibliothek-berlin.de/HSP00062FD700000000</t>
  </si>
  <si>
    <t>https://resolver.staatsbibliothek-berlin.de/HSP00053A0300000000</t>
  </si>
  <si>
    <t>Sturm, Katrin</t>
  </si>
  <si>
    <t>https://resolver.staatsbibliothek-berlin.de/HSP00062FDB00000000</t>
  </si>
  <si>
    <t>https://resolver.staatsbibliothek-berlin.de/HSP00053A0400000000</t>
  </si>
  <si>
    <t>https://resolver.staatsbibliothek-berlin.de/HSP00062FDA00000000</t>
  </si>
  <si>
    <t>https://resolver.staatsbibliothek-berlin.de/HSP00053A0500000000</t>
  </si>
  <si>
    <t>https://resolver.staatsbibliothek-berlin.de/HSP00062FDC00000000</t>
  </si>
  <si>
    <t>https://resolver.staatsbibliothek-berlin.de/HSP00053A0600000000</t>
  </si>
  <si>
    <t>https://resolver.staatsbibliothek-berlin.de/HSP00062FDD00000000</t>
  </si>
  <si>
    <t>https://resolver.staatsbibliothek-berlin.de/HSP00053A0700000000</t>
  </si>
  <si>
    <t>https://resolver.staatsbibliothek-berlin.de/HSP00062FDE00000000</t>
  </si>
  <si>
    <t>https://resolver.staatsbibliothek-berlin.de/HSP00053A0800000000</t>
  </si>
  <si>
    <t>https://resolver.staatsbibliothek-berlin.de/HSP00062FDF00000000</t>
  </si>
  <si>
    <t>https://resolver.staatsbibliothek-berlin.de/HSP00053A0900000000</t>
  </si>
  <si>
    <t>https://resolver.staatsbibliothek-berlin.de/HSP00062FE000000000</t>
  </si>
  <si>
    <t>https://resolver.staatsbibliothek-berlin.de/HSP00053A0A00000000</t>
  </si>
  <si>
    <t>https://resolver.staatsbibliothek-berlin.de/HSP00062FE100000000</t>
  </si>
  <si>
    <t>https://resolver.staatsbibliothek-berlin.de/HSP00053A0B00000000</t>
  </si>
  <si>
    <t>https://resolver.staatsbibliothek-berlin.de/HSP00062FE200000000</t>
  </si>
  <si>
    <t>https://resolver.staatsbibliothek-berlin.de/HSP00053A0C00000000</t>
  </si>
  <si>
    <t>https://resolver.staatsbibliothek-berlin.de/HSP00062FE300000000</t>
  </si>
  <si>
    <t>https://resolver.staatsbibliothek-berlin.de/HSP00062FE400000000</t>
  </si>
  <si>
    <t>https://resolver.staatsbibliothek-berlin.de/HSP00053A0D00000000</t>
  </si>
  <si>
    <t>https://resolver.staatsbibliothek-berlin.de/HSP00062FE500000000</t>
  </si>
  <si>
    <t>https://resolver.staatsbibliothek-berlin.de/HSP00053A0E00000000</t>
  </si>
  <si>
    <t>https://resolver.staatsbibliothek-berlin.de/HSP00062FE600000000</t>
  </si>
  <si>
    <t>https://resolver.staatsbibliothek-berlin.de/HSP00053A0F00000000</t>
  </si>
  <si>
    <t>https://resolver.staatsbibliothek-berlin.de/HSP00062FE700000000</t>
  </si>
  <si>
    <t>https://resolver.staatsbibliothek-berlin.de/HSP00053A1000000000</t>
  </si>
  <si>
    <t>https://resolver.staatsbibliothek-berlin.de/HSP00062FE800000000</t>
  </si>
  <si>
    <t>237, 238, 239</t>
  </si>
  <si>
    <t>https://resolver.staatsbibliothek-berlin.de/HSP00053A1100000000</t>
  </si>
  <si>
    <t>https://resolver.staatsbibliothek-berlin.de/HSP00062FE900000000</t>
  </si>
  <si>
    <t>https://resolver.staatsbibliothek-berlin.de/HSP00053A1200000000</t>
  </si>
  <si>
    <t>https://resolver.staatsbibliothek-berlin.de/HSP00062FEA00000000</t>
  </si>
  <si>
    <t>https://resolver.staatsbibliothek-berlin.de/HSP00053A1300000000</t>
  </si>
  <si>
    <t>https://resolver.staatsbibliothek-berlin.de/HSP00062FEC00000000</t>
  </si>
  <si>
    <t>https://resolver.staatsbibliothek-berlin.de/HSP00053A1400000000</t>
  </si>
  <si>
    <t>https://resolver.staatsbibliothek-berlin.de/HSP00062FED00000000</t>
  </si>
  <si>
    <t>https://resolver.staatsbibliothek-berlin.de/HSP00053A1500000000</t>
  </si>
  <si>
    <t>https://resolver.staatsbibliothek-berlin.de/HSP00062FEB00000000</t>
  </si>
  <si>
    <t>https://resolver.staatsbibliothek-berlin.de/HSP00053A1600000000</t>
  </si>
  <si>
    <t>https://resolver.staatsbibliothek-berlin.de/HSP00062FEE00000000</t>
  </si>
  <si>
    <t>Cod. Donaueschingen B II 8</t>
  </si>
  <si>
    <t>HSP-e1641b7e-3598-398c-be68-dda3ea1261ec</t>
  </si>
  <si>
    <t>https://resolver.staatsbibliothek-berlin.de/HSP00053A1700000000</t>
  </si>
  <si>
    <t>HSP-9ae2ecce-09cd-38c3-b4b3-75ffeef92f71</t>
  </si>
  <si>
    <t>https://resolver.staatsbibliothek-berlin.de/HSP00062FEF00000000</t>
  </si>
  <si>
    <t>Cod. Donaueschingen B III 10</t>
  </si>
  <si>
    <t>HSP-cc3918e5-355b-3ef7-8cf3-6b021b390347</t>
  </si>
  <si>
    <t>https://resolver.staatsbibliothek-berlin.de/HSP00053A1800000000</t>
  </si>
  <si>
    <t>HSP-6d7f2a9a-4aba-3d7d-91e3-03d65ef72c02</t>
  </si>
  <si>
    <t>https://resolver.staatsbibliothek-berlin.de/HSP00062FF000000000</t>
  </si>
  <si>
    <t>Cod. Donaueschingen A III 11</t>
  </si>
  <si>
    <t>Cod. Donaueschingen B III 7</t>
  </si>
  <si>
    <t>HSP-1134a844-cd57-3f41-b646-fb2563444ade</t>
  </si>
  <si>
    <t>HSP-4d97850f-e769-37b2-82d4-fa7d037c9ef8</t>
  </si>
  <si>
    <t>HSP-13e8e7c2-fd1f-3084-b1b8-04729593d578</t>
  </si>
  <si>
    <t>HSP-29726d87-8d89-3ea5-b754-5000bc0e67a8</t>
  </si>
  <si>
    <t>https://resolver.staatsbibliothek-berlin.de/HSP00062FF100000000</t>
  </si>
  <si>
    <t>https://resolver.staatsbibliothek-berlin.de/HSP00053A1900000000</t>
  </si>
  <si>
    <t>https://resolver.staatsbibliothek-berlin.de/HSP00062FF200000000</t>
  </si>
  <si>
    <t>https://resolver.staatsbibliothek-berlin.de/HSP00053A1A00000000</t>
  </si>
  <si>
    <t>https://resolver.staatsbibliothek-berlin.de/HSP00062FF300000000</t>
  </si>
  <si>
    <t>https://resolver.staatsbibliothek-berlin.de/HSP00053A1B00000000</t>
  </si>
  <si>
    <t>https://resolver.staatsbibliothek-berlin.de/HSP00053A1C00000000</t>
  </si>
  <si>
    <t>https://resolver.staatsbibliothek-berlin.de/HSP00062FF400000000</t>
  </si>
  <si>
    <t>https://resolver.staatsbibliothek-berlin.de/HSP00053A1D00000000</t>
  </si>
  <si>
    <t>Cod. Donaueschingen B V 13</t>
  </si>
  <si>
    <t>HSP-6dadfa59-97be-35d3-afca-edf21cbfe3ce</t>
  </si>
  <si>
    <t>HSP-00a42778-6ec6-3c31-bbda-eb16797797b6</t>
  </si>
  <si>
    <t>https://resolver.staatsbibliothek-berlin.de/HSP00062FF500000000</t>
  </si>
  <si>
    <t>https://resolver.staatsbibliothek-berlin.de/HSP00053A1E00000000</t>
  </si>
  <si>
    <t>Cod. Donaueschingen B III 8</t>
  </si>
  <si>
    <t>HSP-0a46de48-2765-30b9-a81d-d3a22417a795</t>
  </si>
  <si>
    <t>HSP-50f764e5-5375-353d-a2fc-38547560f2c7</t>
  </si>
  <si>
    <t>https://resolver.staatsbibliothek-berlin.de/HSP00062FF600000000</t>
  </si>
  <si>
    <t>https://resolver.staatsbibliothek-berlin.de/HSP00053A1F00000000</t>
  </si>
  <si>
    <t>https://resolver.staatsbibliothek-berlin.de/HSP00062FF700000000</t>
  </si>
  <si>
    <t>https://resolver.staatsbibliothek-berlin.de/HSP00053A2000000000</t>
  </si>
  <si>
    <t>https://resolver.staatsbibliothek-berlin.de/HSP00062FF800000000</t>
  </si>
  <si>
    <t>https://resolver.staatsbibliothek-berlin.de/HSP00053A2100000000</t>
  </si>
  <si>
    <t>https://resolver.staatsbibliothek-berlin.de/HSP00062FF900000000</t>
  </si>
  <si>
    <t>https://resolver.staatsbibliothek-berlin.de/HSP00053A2200000000</t>
  </si>
  <si>
    <t>Cod. Donaueschingen B VI 9</t>
  </si>
  <si>
    <t>HSP-c97bab7d-960b-31ae-8978-44c965338d5c</t>
  </si>
  <si>
    <t>HSP-69457d8d-4c85-314e-aecb-10b2aa61eb51</t>
  </si>
  <si>
    <t>https://resolver.staatsbibliothek-berlin.de/HSP00062FFA00000000</t>
  </si>
  <si>
    <t>https://resolver.staatsbibliothek-berlin.de/HSP00053A2300000000</t>
  </si>
  <si>
    <t>https://resolver.staatsbibliothek-berlin.de/HSP00062FFB00000000</t>
  </si>
  <si>
    <t>https://resolver.staatsbibliothek-berlin.de/HSP00053A2400000000</t>
  </si>
  <si>
    <t>https://resolver.staatsbibliothek-berlin.de/HSP00062FFC00000000</t>
  </si>
  <si>
    <t>https://resolver.staatsbibliothek-berlin.de/HSP00062FFD00000000</t>
  </si>
  <si>
    <t>https://resolver.staatsbibliothek-berlin.de/HSP00053A2500000000</t>
  </si>
  <si>
    <t>https://resolver.staatsbibliothek-berlin.de/HSP00062FFE00000000</t>
  </si>
  <si>
    <t>https://resolver.staatsbibliothek-berlin.de/HSP00053A2600000000</t>
  </si>
  <si>
    <t>https://resolver.staatsbibliothek-berlin.de/HSP00062FFF00000000</t>
  </si>
  <si>
    <t>https://resolver.staatsbibliothek-berlin.de/HSP00053A2700000000</t>
  </si>
  <si>
    <t>https://resolver.staatsbibliothek-berlin.de/HSP0006300000000000</t>
  </si>
  <si>
    <t>https://resolver.staatsbibliothek-berlin.de/HSP00053A2800000000</t>
  </si>
  <si>
    <t>https://resolver.staatsbibliothek-berlin.de/HSP0006300100000000</t>
  </si>
  <si>
    <t>https://resolver.staatsbibliothek-berlin.de/HSP00053A2900000000</t>
  </si>
  <si>
    <t>https://resolver.staatsbibliothek-berlin.de/HSP0006300200000000</t>
  </si>
  <si>
    <t>https://resolver.staatsbibliothek-berlin.de/HSP00053A2A00000000</t>
  </si>
  <si>
    <t>https://resolver.staatsbibliothek-berlin.de/HSP0006300300000000</t>
  </si>
  <si>
    <t>https://resolver.staatsbibliothek-berlin.de/HSP00053A2B00000000</t>
  </si>
  <si>
    <t>https://resolver.staatsbibliothek-berlin.de/HSP0006300400000000</t>
  </si>
  <si>
    <t>https://resolver.staatsbibliothek-berlin.de/HSP00053A2C00000000</t>
  </si>
  <si>
    <t>https://resolver.staatsbibliothek-berlin.de/HSP0006300500000000</t>
  </si>
  <si>
    <t>https://resolver.staatsbibliothek-berlin.de/HSP00053A2D00000000</t>
  </si>
  <si>
    <t>Cod. Donaueschingen B III 11</t>
  </si>
  <si>
    <t>HSP-12d59bb9-57ef-3701-bd23-1497fb29b7fd</t>
  </si>
  <si>
    <t>HSP-98e8983a-f169-36f9-b311-ed53acf3cb99</t>
  </si>
  <si>
    <t>https://resolver.staatsbibliothek-berlin.de/HSP0006300600000000</t>
  </si>
  <si>
    <t>https://resolver.staatsbibliothek-berlin.de/HSP00053A2E00000000</t>
  </si>
  <si>
    <t>Cod. Donaueschingen B II 1</t>
  </si>
  <si>
    <t>HSP-c3e27bd9-b9bd-35fb-8d5a-998054d518d8</t>
  </si>
  <si>
    <t>HSP-df2ddfa2-bf5e-3198-b936-0215ae620fae</t>
  </si>
  <si>
    <t>https://resolver.staatsbibliothek-berlin.de/HSP0006300700000000</t>
  </si>
  <si>
    <t>Cod. Donaueschingen B VI 8</t>
  </si>
  <si>
    <t>https://resolver.staatsbibliothek-berlin.de/HSP00053A2F00000000</t>
  </si>
  <si>
    <t>HSP-146c1ef2-d299-30f6-9843-dab3a03e0cb1</t>
  </si>
  <si>
    <t>HSP-a06fa467-1446-30b2-b371-fbc29a719315</t>
  </si>
  <si>
    <t>https://resolver.staatsbibliothek-berlin.de/HSP0006300800000000</t>
  </si>
  <si>
    <t>https://resolver.staatsbibliothek-berlin.de/HSP00053A3000000000</t>
  </si>
  <si>
    <t>https://resolver.staatsbibliothek-berlin.de/HSP0006300900000000</t>
  </si>
  <si>
    <t>Cod. Donaueschingen B III 12</t>
  </si>
  <si>
    <t>https://resolver.staatsbibliothek-berlin.de/HSP00053A3100000000</t>
  </si>
  <si>
    <t>HSP-f821ba39-06d3-37ee-b0bb-72fec085ba33</t>
  </si>
  <si>
    <t>HSP-20f77b95-53cb-316c-bd23-cf97a11defb8</t>
  </si>
  <si>
    <t>https://resolver.staatsbibliothek-berlin.de/HSP0006300A00000000</t>
  </si>
  <si>
    <t>Cod. Donaueschingen B V 16</t>
  </si>
  <si>
    <t>HSP-71d99d04-342b-34b7-b67f-e4b1d68db73b</t>
  </si>
  <si>
    <t>HSP-4d8e0d4e-aea1-30f5-912d-d6de8f0b43bf</t>
  </si>
  <si>
    <t>https://resolver.staatsbibliothek-berlin.de/HSP0006300B00000000</t>
  </si>
  <si>
    <t>https://resolver.staatsbibliothek-berlin.de/HSP00053A3200000000</t>
  </si>
  <si>
    <t>https://resolver.staatsbibliothek-berlin.de/HSP0006300C00000000</t>
  </si>
  <si>
    <t>https://resolver.staatsbibliothek-berlin.de/HSP00053A3300000000</t>
  </si>
  <si>
    <t>Cod. Donaueschingen B V 12</t>
  </si>
  <si>
    <t>HSP-42cc64bf-c805-3312-b277-731db3c38353</t>
  </si>
  <si>
    <t>HSP-e6b86c31-d2da-3c21-8292-90ff80a21faa</t>
  </si>
  <si>
    <t>https://resolver.staatsbibliothek-berlin.de/HSP0006300D00000000</t>
  </si>
  <si>
    <t>https://resolver.staatsbibliothek-berlin.de/HSP00053A3400000000</t>
  </si>
  <si>
    <t>https://resolver.staatsbibliothek-berlin.de/HSP0006300E00000000</t>
  </si>
  <si>
    <t>https://resolver.staatsbibliothek-berlin.de/HSP00053A3500000000</t>
  </si>
  <si>
    <t>Cod. Donaueschingen B V 8</t>
  </si>
  <si>
    <t>HSP-34fc4060-543d-3b79-8c93-a88c725ee9d3</t>
  </si>
  <si>
    <t>HSP-25841236-23fa-391f-9612-c8100f264490</t>
  </si>
  <si>
    <t>https://resolver.staatsbibliothek-berlin.de/HSP0006300F00000000</t>
  </si>
  <si>
    <t>https://resolver.staatsbibliothek-berlin.de/HSP00053A3600000000</t>
  </si>
  <si>
    <t>Cod. Donaueschingen 425</t>
  </si>
  <si>
    <t>HSP-39414968-2141-3f0a-b093-8f21d76ee0c4</t>
  </si>
  <si>
    <t>HSP-964d1283-1b3a-3b90-8982-dd2694a88aee</t>
  </si>
  <si>
    <t>https://resolver.staatsbibliothek-berlin.de/HSP0006301000000000</t>
  </si>
  <si>
    <t>https://resolver.staatsbibliothek-berlin.de/HSP00053A3700000000</t>
  </si>
  <si>
    <t>Cod. Donaueschingen B III 24</t>
  </si>
  <si>
    <t>HSP-0f221973-2cab-3cbc-8ec3-ad3c57031d52</t>
  </si>
  <si>
    <t>HSP-73a6ecda-fcac-31dd-8dd2-c6607362c94f</t>
  </si>
  <si>
    <t>https://resolver.staatsbibliothek-berlin.de/HSP0006301100000000</t>
  </si>
  <si>
    <t>https://resolver.staatsbibliothek-berlin.de/HSP00053A3800000000</t>
  </si>
  <si>
    <t>https://resolver.staatsbibliothek-berlin.de/HSP0006301200000000</t>
  </si>
  <si>
    <t>https://resolver.staatsbibliothek-berlin.de/HSP00053A3900000000</t>
  </si>
  <si>
    <t>Cod. Donaueschingen 365</t>
  </si>
  <si>
    <t>HSP-53ef7f76-0910-350a-9c9d-f1f436f07e6f</t>
  </si>
  <si>
    <t>HSP-35228033-f26e-36b9-80be-ae1e3fc2c6c8</t>
  </si>
  <si>
    <t>https://resolver.staatsbibliothek-berlin.de/HSP0006301300000000</t>
  </si>
  <si>
    <t>https://resolver.staatsbibliothek-berlin.de/HSP00053A3A00000000</t>
  </si>
  <si>
    <t>Cod. Donaueschingen 426</t>
  </si>
  <si>
    <t>HSP-8356e661-eb43-3273-9957-1081d7817243</t>
  </si>
  <si>
    <t>HSP-a72cefa4-fa54-3d9b-8f9b-d62be28aa238</t>
  </si>
  <si>
    <t>https://resolver.staatsbibliothek-berlin.de/HSP0006301400000000</t>
  </si>
  <si>
    <t>https://resolver.staatsbibliothek-berlin.de/HSP00053A3B00000000</t>
  </si>
  <si>
    <t>Cod. Donaueschingen 452</t>
  </si>
  <si>
    <t>HSP-9c33c1ad-3cfe-3826-9e2d-1c0ab4abeaff</t>
  </si>
  <si>
    <t>HSP-7b3c9a68-06ee-303c-8a6f-114ca644c9b9</t>
  </si>
  <si>
    <t>https://resolver.staatsbibliothek-berlin.de/HSP0006301500000000</t>
  </si>
  <si>
    <t>https://resolver.staatsbibliothek-berlin.de/HSP00053A3C00000000</t>
  </si>
  <si>
    <t>Cod. Donaueschingen 454</t>
  </si>
  <si>
    <t>HSP-03a3296f-ea64-3060-9845-14ce9289eed3</t>
  </si>
  <si>
    <t>HSP-eecd201d-513e-3403-a4e4-c321d4117822</t>
  </si>
  <si>
    <t>https://resolver.staatsbibliothek-berlin.de/HSP0006301600000000</t>
  </si>
  <si>
    <t>https://resolver.staatsbibliothek-berlin.de/HSP00053A3D00000000</t>
  </si>
  <si>
    <t>Cod. Donaueschingen 358</t>
  </si>
  <si>
    <t>HSP-9d20af0f-b21a-334a-a626-07cef827f8cd</t>
  </si>
  <si>
    <t>HSP-a725b967-4b28-31be-a30f-31c12f944506</t>
  </si>
  <si>
    <t>https://resolver.staatsbibliothek-berlin.de/HSP0006301700000000</t>
  </si>
  <si>
    <t>https://resolver.staatsbibliothek-berlin.de/HSP00053A3E00000000</t>
  </si>
  <si>
    <t>Cod. Donaueschingen B V 4</t>
  </si>
  <si>
    <t>HSP-4ede80af-3e00-3b54-bfac-5772e419b6f5</t>
  </si>
  <si>
    <t>HSP-0f9d74ad-028d-39ae-a6bd-89da4eb1a136</t>
  </si>
  <si>
    <t>https://resolver.staatsbibliothek-berlin.de/HSP0006301800000000</t>
  </si>
  <si>
    <t>https://resolver.staatsbibliothek-berlin.de/HSP00053A3F00000000</t>
  </si>
  <si>
    <t>Cod. Donaueschingen 291</t>
  </si>
  <si>
    <t>HSP-35ff2c16-74fe-3364-b81c-e5fbd719adca</t>
  </si>
  <si>
    <t>HSP-1e9db40e-2903-393c-a523-461f9b8a0798</t>
  </si>
  <si>
    <t>https://resolver.staatsbibliothek-berlin.de/HSP0006301A00000000</t>
  </si>
  <si>
    <t>https://resolver.staatsbibliothek-berlin.de/HSP00053A4000000000</t>
  </si>
  <si>
    <t>Cod. Donaueschingen 437</t>
  </si>
  <si>
    <t>HSP-6be00ce3-112c-3395-8a9d-3f5adf21a935</t>
  </si>
  <si>
    <t>HSP-1390d399-94ce-35ee-8ca1-016f214c2dc1</t>
  </si>
  <si>
    <t>https://resolver.staatsbibliothek-berlin.de/HSP0006301C00000000</t>
  </si>
  <si>
    <t>Cod. Donaueschingen B IV 3</t>
  </si>
  <si>
    <t>HSP-793b07cd-b5da-372a-89fe-cc723fc5cab3</t>
  </si>
  <si>
    <t>HSP-8850d028-ec2b-3883-bd73-20aa7cbdf6f3</t>
  </si>
  <si>
    <t>https://resolver.staatsbibliothek-berlin.de/HSP0006301900000000</t>
  </si>
  <si>
    <t>https://resolver.staatsbibliothek-berlin.de/HSP00053A4100000000</t>
  </si>
  <si>
    <t>Cod. Donaueschingen B VI 2</t>
  </si>
  <si>
    <t>HSP-cd69c45d-c932-341b-8312-ac63b10fb57f</t>
  </si>
  <si>
    <t>HSP-05c56a5c-dde1-3fa7-8a8a-33ebfabdddf4</t>
  </si>
  <si>
    <t>https://resolver.staatsbibliothek-berlin.de/HSP0006301B00000000</t>
  </si>
  <si>
    <t>https://resolver.staatsbibliothek-berlin.de/HSP00053A4200000000</t>
  </si>
  <si>
    <t>Cod. Donaueschingen 360</t>
  </si>
  <si>
    <t>HSP-154febb9-e283-3c40-bfd5-436a5f279f72</t>
  </si>
  <si>
    <t>HSP-6c110261-9846-319a-b118-da4103431684</t>
  </si>
  <si>
    <t>https://resolver.staatsbibliothek-berlin.de/HSP0006301D00000000</t>
  </si>
  <si>
    <t>https://resolver.staatsbibliothek-berlin.de/HSP00053A4300000000</t>
  </si>
  <si>
    <t>Cod. Donaueschingen 366</t>
  </si>
  <si>
    <t>HSP-69279105-3cab-325b-a541-b3f7d60212ea</t>
  </si>
  <si>
    <t>HSP-7303abbd-664b-3007-8fc8-58852dbc68e2</t>
  </si>
  <si>
    <t>https://resolver.staatsbibliothek-berlin.de/HSP0006301F00000000</t>
  </si>
  <si>
    <t>https://resolver.staatsbibliothek-berlin.de/HSP00053A4400000000</t>
  </si>
  <si>
    <t>Cod. Donaueschingen 363</t>
  </si>
  <si>
    <t>HSP-7d1c4fb5-e58f-3026-a2ee-8bb828569275</t>
  </si>
  <si>
    <t>HSP-b84c4e74-5202-3e5a-b353-61a35b774565</t>
  </si>
  <si>
    <t>https://resolver.staatsbibliothek-berlin.de/HSP0006301E00000000</t>
  </si>
  <si>
    <t>https://resolver.staatsbibliothek-berlin.de/HSP00053A4500000000</t>
  </si>
  <si>
    <t>Cod. Donaueschingen 361</t>
  </si>
  <si>
    <t>HSP-7449fcdf-82c0-348e-85e6-a13556269d2d</t>
  </si>
  <si>
    <t>HSP-f7c27f09-d137-3d29-801c-dca41a02415d</t>
  </si>
  <si>
    <t>https://resolver.staatsbibliothek-berlin.de/HSP0006302100000000</t>
  </si>
  <si>
    <t>https://resolver.staatsbibliothek-berlin.de/HSP00053A4600000000</t>
  </si>
  <si>
    <t>Cod. Donaueschingen 359</t>
  </si>
  <si>
    <t>HSP-0ff1b503-9c6c-383e-9dd4-a4e46973f24d</t>
  </si>
  <si>
    <t>HSP-fa53009d-67af-3ac0-8ffe-d081843dce6a</t>
  </si>
  <si>
    <t>https://resolver.staatsbibliothek-berlin.de/HSP0006302000000000</t>
  </si>
  <si>
    <t>https://resolver.staatsbibliothek-berlin.de/HSP00053A4700000000</t>
  </si>
  <si>
    <t>Cod. Donaueschingen 436</t>
  </si>
  <si>
    <t>HSP-22e16ff9-94db-36ad-b4a9-a29bc4b728df</t>
  </si>
  <si>
    <t>HSP-44eb4c54-31ee-3a52-b49a-efa73d3f4f0e</t>
  </si>
  <si>
    <t>https://resolver.staatsbibliothek-berlin.de/HSP0006302200000000</t>
  </si>
  <si>
    <t>Cod. Donaueschingen 481</t>
  </si>
  <si>
    <t>https://resolver.staatsbibliothek-berlin.de/HSP00053A4800000000</t>
  </si>
  <si>
    <t>HSP-a41ad124-d318-390c-b134-39c6b89bc0fa</t>
  </si>
  <si>
    <t>HSP-e318874a-8535-3665-9036-c5c666aceb05</t>
  </si>
  <si>
    <t>https://resolver.staatsbibliothek-berlin.de/HSP000675C400000000</t>
  </si>
  <si>
    <t>Cod. Donaueschingen 635</t>
  </si>
  <si>
    <t>Schaudeck, Franziska</t>
  </si>
  <si>
    <t>HSP-a1427720-e465-341b-b1bd-375ad61c6134</t>
  </si>
  <si>
    <t>HSP-788a00af-0518-33c0-bba2-4bdaa2047f3d</t>
  </si>
  <si>
    <t>https://resolver.staatsbibliothek-berlin.de/HSP00053A4900000000</t>
  </si>
  <si>
    <t>https://resolver.staatsbibliothek-berlin.de/HSP0006820F00000000</t>
  </si>
  <si>
    <t>https://resolver.staatsbibliothek-berlin.de/HSP00053A4A00000000</t>
  </si>
  <si>
    <t>Cod. Donaueschingen 641</t>
  </si>
  <si>
    <t>HSP-e54e3daf-4cb9-302a-8d38-07dcf5cf13fe</t>
  </si>
  <si>
    <t>HSP-24b55477-f7d1-3727-9f52-d8cae9fc9a04</t>
  </si>
  <si>
    <t>https://resolver.staatsbibliothek-berlin.de/HSP0006821300000000</t>
  </si>
  <si>
    <t>157a</t>
  </si>
  <si>
    <t>https://resolver.staatsbibliothek-berlin.de/HSP00053A4B00000000</t>
  </si>
  <si>
    <t>Cod. Donaueschingen 606</t>
  </si>
  <si>
    <t>HSP-a9c9e358-1efa-3c40-8723-15915662fa0c</t>
  </si>
  <si>
    <t>HSP-ff88cb7a-85ec-34be-bff8-92bbab395abf</t>
  </si>
  <si>
    <t>https://resolver.staatsbibliothek-berlin.de/HSP0006821000000000</t>
  </si>
  <si>
    <t>https://resolver.staatsbibliothek-berlin.de/HSP00053A4C00000000</t>
  </si>
  <si>
    <t>Cod. Donaueschingen C III b 10</t>
  </si>
  <si>
    <t>HSP-5d188cea-be10-3445-9819-5281a314d86e</t>
  </si>
  <si>
    <t>HSP-134849d0-9e56-361b-8cc6-54bd223678dc</t>
  </si>
  <si>
    <t>https://resolver.staatsbibliothek-berlin.de/HSP0006821A00000000</t>
  </si>
  <si>
    <t>Cod. Donaueschingen 642</t>
  </si>
  <si>
    <t>https://resolver.staatsbibliothek-berlin.de/HSP00053A4D00000000</t>
  </si>
  <si>
    <t>HSP-b4d038df-5158-3f1a-9432-a9058d862a80</t>
  </si>
  <si>
    <t>HSP-51477140-a269-3ca5-84a2-50ad9ecf2862</t>
  </si>
  <si>
    <t>https://resolver.staatsbibliothek-berlin.de/HSP0006821400000000</t>
  </si>
  <si>
    <t>https://resolver.staatsbibliothek-berlin.de/HSP00053A4E00000000</t>
  </si>
  <si>
    <t>Cod. Donaueschingen 607a</t>
  </si>
  <si>
    <t>HSP-225e64b5-4ac2-3094-8775-5598e5e86379</t>
  </si>
  <si>
    <t>HSP-dfc904cd-bdd0-3e9d-9b02-76e589aa419c</t>
  </si>
  <si>
    <t>https://resolver.staatsbibliothek-berlin.de/HSP0006821100000000</t>
  </si>
  <si>
    <t>157b</t>
  </si>
  <si>
    <t>Cod. Donaueschingen C III b 1</t>
  </si>
  <si>
    <t>https://resolver.staatsbibliothek-berlin.de/HSP00053A4F00000000</t>
  </si>
  <si>
    <t>HSP-c5f22e95-8446-30fe-849d-90d8848e42c4</t>
  </si>
  <si>
    <t>HSP-d1dc28bc-a139-3810-bc9c-e327e8e45741</t>
  </si>
  <si>
    <t>https://resolver.staatsbibliothek-berlin.de/HSP0006821500000000</t>
  </si>
  <si>
    <t>Cod. Donaueschingen 636</t>
  </si>
  <si>
    <t>HSP-86bc9514-e457-33e7-8b29-2c9d274a621d</t>
  </si>
  <si>
    <t>https://resolver.staatsbibliothek-berlin.de/HSP00053A5000000000</t>
  </si>
  <si>
    <t>HSP-a9f02419-2f60-3ca7-9656-b0f404852253</t>
  </si>
  <si>
    <t>https://resolver.staatsbibliothek-berlin.de/HSP0006821700000000</t>
  </si>
  <si>
    <t>Cod. Donaueschingen C III b 9</t>
  </si>
  <si>
    <t>HSP-9c0dca66-48ba-3bb3-8439-bbc491278820</t>
  </si>
  <si>
    <t>HSP-8e4475f1-2dfc-3594-864d-4d895c4e4851</t>
  </si>
  <si>
    <t>https://resolver.staatsbibliothek-berlin.de/HSP0006821900000000</t>
  </si>
  <si>
    <t>https://resolver.staatsbibliothek-berlin.de/HSP00053A5100000000</t>
  </si>
  <si>
    <t>Cod. Donaueschingen C III b 7</t>
  </si>
  <si>
    <t>HSP-35d444ba-9afd-316d-8488-6cc9e275077d</t>
  </si>
  <si>
    <t>HSP-fc80226b-e5b9-3569-a952-e52d9e0eb39b</t>
  </si>
  <si>
    <t>https://resolver.staatsbibliothek-berlin.de/HSP0006821800000000</t>
  </si>
  <si>
    <t>https://resolver.staatsbibliothek-berlin.de/HSP00053A5200000000</t>
  </si>
  <si>
    <t>Cod. Donaueschingen 607b</t>
  </si>
  <si>
    <t>HSP-25504f9b-dda5-345b-946b-132888ae66bf</t>
  </si>
  <si>
    <t>HSP-5b0902f3-7bb4-3c49-acab-478656a7d79a</t>
  </si>
  <si>
    <t>https://resolver.staatsbibliothek-berlin.de/HSP0006821200000000</t>
  </si>
  <si>
    <t>https://resolver.staatsbibliothek-berlin.de/HSP00053A5300000000</t>
  </si>
  <si>
    <t>Cod. Donaueschingen C III b 12</t>
  </si>
  <si>
    <t>HSP-06f86371-6a7a-31be-a776-af10a2ee2a6d</t>
  </si>
  <si>
    <t>HSP-36ea09c3-35ce-387c-b1db-6aa943f07988</t>
  </si>
  <si>
    <t>https://resolver.staatsbibliothek-berlin.de/HSP0006821B00000000</t>
  </si>
  <si>
    <t>https://resolver.staatsbibliothek-berlin.de/HSP00053A5400000000</t>
  </si>
  <si>
    <t>Cod. Donaueschingen C III b 4</t>
  </si>
  <si>
    <t>HSP-26c51c2e-83a4-33ee-b5a9-ac7972443506</t>
  </si>
  <si>
    <t>HSP-35af1e5d-2c45-3797-83ea-dc520e0bd842</t>
  </si>
  <si>
    <t>https://resolver.staatsbibliothek-berlin.de/HSP0006821600000000</t>
  </si>
  <si>
    <t>https://resolver.staatsbibliothek-berlin.de/HSP00053A5500000000</t>
  </si>
  <si>
    <t>Cod. Donaueschingen C III b 2</t>
  </si>
  <si>
    <t>HSP-f46040b8-407f-359c-b31a-f491e0f1479a</t>
  </si>
  <si>
    <t>HSP-a30b360d-23d9-3cef-9635-d3cabb05ffdd</t>
  </si>
  <si>
    <t>https://resolver.staatsbibliothek-berlin.de/HSP0006820E00000000</t>
  </si>
  <si>
    <t>Cod. Donaueschingen 480</t>
  </si>
  <si>
    <t>HSP-0647aadd-1884-3a54-b71b-1da0dd4c2147</t>
  </si>
  <si>
    <t>Cod. Donaueschingen C III b 26</t>
  </si>
  <si>
    <t>HSP-3be335e8-bfda-3dcf-869c-28d06cc1e784</t>
  </si>
  <si>
    <t>HSP-26b625e9-6718-3871-8b78-76ca7afa6e75</t>
  </si>
  <si>
    <t>https://resolver.staatsbibliothek-berlin.de/HSP0006821C00000000</t>
  </si>
  <si>
    <t>HSP-7077e5a3-acab-3192-9a3f-79dba11f5144</t>
  </si>
  <si>
    <t>https://resolver.staatsbibliothek-berlin.de/HSP00064F4E00000000</t>
  </si>
  <si>
    <t>Cod. Donaueschingen 833</t>
  </si>
  <si>
    <t>HSP-4aed37ee-8d9c-3480-a4da-9c952e76b000</t>
  </si>
  <si>
    <t>HSP-8edfa3c2-1632-3c31-85e9-4c3e0274ed06</t>
  </si>
  <si>
    <t>https://resolver.staatsbibliothek-berlin.de/HSP0006821E00000000</t>
  </si>
  <si>
    <t>Cod. Donaueschingen 482</t>
  </si>
  <si>
    <t>HSP-062d9ffa-f9f4-3495-a444-e2ff4087070f</t>
  </si>
  <si>
    <t>HSP-38c41e96-fa2e-3ad6-80d7-7d13358ec563</t>
  </si>
  <si>
    <t>https://resolver.staatsbibliothek-berlin.de/HSP00064F4F00000000</t>
  </si>
  <si>
    <t>Cod. Donaueschingen 853b</t>
  </si>
  <si>
    <t>HSP-39d9fabd-183f-3817-a623-72cfbfd70609</t>
  </si>
  <si>
    <t>HSP-08a874c7-c4d4-3545-88e6-2f309153ca74</t>
  </si>
  <si>
    <t>https://resolver.staatsbibliothek-berlin.de/HSP0006822000000000</t>
  </si>
  <si>
    <t>Cod. Donaueschingen 483</t>
  </si>
  <si>
    <t>HSP-3521ac28-2d99-327f-b421-29af9cd3f47d</t>
  </si>
  <si>
    <t>HSP-58b3e4b5-cf66-3db2-9348-3243b0d65f18</t>
  </si>
  <si>
    <t>https://resolver.staatsbibliothek-berlin.de/HSP00064F5000000000</t>
  </si>
  <si>
    <t>Cod. Donaueschingen D 9</t>
  </si>
  <si>
    <t>HSP-384779d0-2c61-3cda-a91f-3dbe30dc8828</t>
  </si>
  <si>
    <t>HSP-b17265d7-93f6-3d3f-832f-623f45bc31da</t>
  </si>
  <si>
    <t>https://resolver.staatsbibliothek-berlin.de/HSP0006821D00000000</t>
  </si>
  <si>
    <t>Cod. Donaueschingen 484</t>
  </si>
  <si>
    <t>HSP-3d172f6d-539c-3a3f-a2d0-8ca0da79aaa5</t>
  </si>
  <si>
    <t>HSP-94ecf58e-9be4-3f0a-85dd-be598eeefb62</t>
  </si>
  <si>
    <t>https://resolver.staatsbibliothek-berlin.de/HSP00064F5100000000</t>
  </si>
  <si>
    <t>Cod. Donaueschingen 834</t>
  </si>
  <si>
    <t>HSP-2afc5aeb-24af-3bfe-94b5-dad8be8b0a94</t>
  </si>
  <si>
    <t>HSP-7a76f4de-21ce-387b-acab-741c9e02918f</t>
  </si>
  <si>
    <t>https://resolver.staatsbibliothek-berlin.de/HSP0006821F00000000</t>
  </si>
  <si>
    <t>Cod. Donaueschingen 495</t>
  </si>
  <si>
    <t>HSP-2017cf67-3ae2-3ae2-a55f-f25cc010399e</t>
  </si>
  <si>
    <t>HSP-4a374745-872b-3c18-9723-4c9e687c2727</t>
  </si>
  <si>
    <t>https://resolver.staatsbibliothek-berlin.de/HSP00064F5200000000</t>
  </si>
  <si>
    <t>Cod. Donaueschingen 639</t>
  </si>
  <si>
    <t>HSP-7a464c05-ad73-3285-892f-b71cbc6fe47c</t>
  </si>
  <si>
    <t>HSP-bf62b6d2-8ebc-3b62-b295-c9743df2e36d</t>
  </si>
  <si>
    <t>https://resolver.staatsbibliothek-berlin.de/HSP0006822A00000000</t>
  </si>
  <si>
    <t>Cod. Donaueschingen 496</t>
  </si>
  <si>
    <t>HSP-989508a2-3c8f-3ceb-8f50-aa8409a609b6</t>
  </si>
  <si>
    <t>HSP-96e54dee-380f-39f5-9138-36c4b2d3e5fa</t>
  </si>
  <si>
    <t>https://resolver.staatsbibliothek-berlin.de/HSP00064F5300000000</t>
  </si>
  <si>
    <t>Cod. Donaueschingen C III b 3</t>
  </si>
  <si>
    <t>HSP-05a45698-5b40-344f-a722-2fb020727ffe</t>
  </si>
  <si>
    <t>HSP-76af8fc1-a7ce-3058-a670-d505226b727a</t>
  </si>
  <si>
    <t>https://resolver.staatsbibliothek-berlin.de/HSP0006822B00000000</t>
  </si>
  <si>
    <t>Cod. Donaueschingen 570a</t>
  </si>
  <si>
    <t>HSP-93c760b4-5732-3838-b871-4493e9521ad4</t>
  </si>
  <si>
    <t>HSP-a7c738c5-e1e5-3fad-9b1e-f9491420567d</t>
  </si>
  <si>
    <t>https://resolver.staatsbibliothek-berlin.de/HSP00064F5400000000</t>
  </si>
  <si>
    <t>Cod. Donaueschingen 637</t>
  </si>
  <si>
    <t>HSP-558a0ff7-34f9-390b-97c6-ff9545fb5a9a</t>
  </si>
  <si>
    <t>HSP-edb6e8e0-198f-3bf8-ba07-d482f0e02024</t>
  </si>
  <si>
    <t>https://resolver.staatsbibliothek-berlin.de/HSP0006822900000000</t>
  </si>
  <si>
    <t>Cod. Donaueschingen 612</t>
  </si>
  <si>
    <t>HSP-21ddea50-2ec7-336f-a706-07042b42cb81</t>
  </si>
  <si>
    <t>https://resolver.staatsbibliothek-berlin.de/HSP00064F5500000000</t>
  </si>
  <si>
    <t>HSP-8a170877-463e-31f4-a758-bdc6a3c09ecf</t>
  </si>
  <si>
    <t>https://resolver.staatsbibliothek-berlin.de/HSP0006822300000000</t>
  </si>
  <si>
    <t>Cod. Donaueschingen C III 5</t>
  </si>
  <si>
    <t>HSP-ad3cb012-6236-36b8-87a6-0e0ea4d60b13</t>
  </si>
  <si>
    <t>HSP-036eda9a-2951-3b6b-98ac-e3caef3d17a4</t>
  </si>
  <si>
    <t>https://resolver.staatsbibliothek-berlin.de/HSP0006822800000000</t>
  </si>
  <si>
    <t>https://resolver.staatsbibliothek-berlin.de/HSP00064F5700000000</t>
  </si>
  <si>
    <t>Cod. Donaueschingen 909</t>
  </si>
  <si>
    <t>HSP-a284008e-58a6-362c-9d71-6c0945ee6465</t>
  </si>
  <si>
    <t>HSP-2c416168-9d63-3f82-aaeb-2b565086a25d</t>
  </si>
  <si>
    <t>https://resolver.staatsbibliothek-berlin.de/HSP0006822200000000</t>
  </si>
  <si>
    <t>Cod. Donaueschingen 625</t>
  </si>
  <si>
    <t>HSP-1c20d26f-9381-347f-ad7e-e9bc7da8c21d</t>
  </si>
  <si>
    <t>HSP-180fe7df-e3e2-4394-88d8-d17423668bb7</t>
  </si>
  <si>
    <t>https://resolver.staatsbibliothek-berlin.de/HSP00064F5800000000</t>
  </si>
  <si>
    <t>Cod. Donaueschingen 853a</t>
  </si>
  <si>
    <t>HSP-9f7c4776-a40e-3278-9f93-0bafeb44bcf9</t>
  </si>
  <si>
    <t>HSP-e8c0cb63-7e73-372b-8335-748f96ab347e</t>
  </si>
  <si>
    <t>https://resolver.staatsbibliothek-berlin.de/HSP0006822400000000</t>
  </si>
  <si>
    <t>https://resolver.staatsbibliothek-berlin.de/HSP00064F5900000000</t>
  </si>
  <si>
    <t>Cod. Donaueschingen 638</t>
  </si>
  <si>
    <t>HSP-f3b7e35a-00ab-3f61-a75b-5cba8a4847aa</t>
  </si>
  <si>
    <t>HSP-9448ed16-fb4a-3188-b4cb-c6c489bc41b0</t>
  </si>
  <si>
    <t>https://resolver.staatsbibliothek-berlin.de/HSP0006822600000000</t>
  </si>
  <si>
    <t>https://resolver.staatsbibliothek-berlin.de/HSP00064F5A00000000</t>
  </si>
  <si>
    <t>Cod. Donaueschingen 878</t>
  </si>
  <si>
    <t>HSP-716d9f5a-3c88-34a9-8060-56bd8d9e0e5a</t>
  </si>
  <si>
    <t>HSP-826ace3c-5a32-392a-892c-6a8a75b3f1cd</t>
  </si>
  <si>
    <t>https://resolver.staatsbibliothek-berlin.de/HSP0006822700000000</t>
  </si>
  <si>
    <t>https://resolver.staatsbibliothek-berlin.de/HSP00064F5B00000000</t>
  </si>
  <si>
    <t>Cod. Donaueschingen 874</t>
  </si>
  <si>
    <t>HSP-f7c69a74-996b-3c1f-ae13-d5e632c8d8c4</t>
  </si>
  <si>
    <t>HSP-b37ea1da-2e2d-327c-9a1e-d7f287272faf</t>
  </si>
  <si>
    <t>https://resolver.staatsbibliothek-berlin.de/HSP0006822100000000</t>
  </si>
  <si>
    <t>https://resolver.staatsbibliothek-berlin.de/HSP00064F5C00000000</t>
  </si>
  <si>
    <t>Cod. Donaueschingen 748</t>
  </si>
  <si>
    <t>HSP-9c5fe88f-4519-3b0d-8531-adc7de45271f</t>
  </si>
  <si>
    <t>HSP-9c6160b9-43c9-330b-97b3-63b6947398ae</t>
  </si>
  <si>
    <t>https://resolver.staatsbibliothek-berlin.de/HSP0006822500000000</t>
  </si>
  <si>
    <t>https://resolver.staatsbibliothek-berlin.de/HSP00064F5D00000000</t>
  </si>
  <si>
    <t>https://resolver.staatsbibliothek-berlin.de/HSP0006DCF200000000</t>
  </si>
  <si>
    <t>https://resolver.staatsbibliothek-berlin.de/HSP00064F5E00000000</t>
  </si>
  <si>
    <t>Cod. Donaueschingen 691</t>
  </si>
  <si>
    <t>HSP-366e2fa6-3d00-3da4-9e90-9d90a88c5e26</t>
  </si>
  <si>
    <t>HSP-847dd3cc-9415-3b88-9b6d-2c1934ca43d9</t>
  </si>
  <si>
    <t>https://resolver.staatsbibliothek-berlin.de/HSP0006DF7400000000</t>
  </si>
  <si>
    <t>Cod. Donaueschingen 746</t>
  </si>
  <si>
    <t>HSP-65103f14-d61d-3f71-9412-73c0081658f7</t>
  </si>
  <si>
    <t>https://resolver.staatsbibliothek-berlin.de/HSP00064F5F00000000</t>
  </si>
  <si>
    <t>HSP-555ed29d-bcf2-3296-a1d1-ea9cb92b65f5</t>
  </si>
  <si>
    <t>https://resolver.staatsbibliothek-berlin.de/HSP0006DF7200000000</t>
  </si>
  <si>
    <t>Cod. Donaueschingen 650</t>
  </si>
  <si>
    <t>Cod. Donaueschingen D 10b</t>
  </si>
  <si>
    <t>HSP-19b15f9f-d104-3442-a027-1669aba3bce4</t>
  </si>
  <si>
    <t>HSP-9c289f9d-af6a-4eea-9b93-756ffb974f99</t>
  </si>
  <si>
    <t>https://resolver.staatsbibliothek-berlin.de/HSP00064F6000000000</t>
  </si>
  <si>
    <t>HSP-0b53384f-192c-3ce6-951a-f4c165ab93be</t>
  </si>
  <si>
    <t>HSP-47a236b9-6b83-3d0b-a7ba-58bcf15a4808</t>
  </si>
  <si>
    <t>https://resolver.staatsbibliothek-berlin.de/HSP0006DF7900000000</t>
  </si>
  <si>
    <t>Cod. Donaueschingen 745</t>
  </si>
  <si>
    <t>HSP-1f2adc38-8654-3f23-bdba-903c5013ce06</t>
  </si>
  <si>
    <t>HSP-6e4ed855-b4f8-3386-9fbb-a3ccd0410a42</t>
  </si>
  <si>
    <t>https://resolver.staatsbibliothek-berlin.de/HSP0006DF7000000000</t>
  </si>
  <si>
    <t>https://resolver.staatsbibliothek-berlin.de/HSP00064F6100000000</t>
  </si>
  <si>
    <t>Cod. Donaueschingen 830</t>
  </si>
  <si>
    <t>Cod. Donaueschingen 738</t>
  </si>
  <si>
    <t>HSP-276e7fca-b7d4-316e-9cf1-457fcc6899f1</t>
  </si>
  <si>
    <t>HSP-f27db9e4-defe-3c45-ac6a-f44afab68de7</t>
  </si>
  <si>
    <t>https://resolver.staatsbibliothek-berlin.de/HSP0006DF7600000000</t>
  </si>
  <si>
    <t>HSP-e799980d-e78f-313b-9354-ce341b84dd20</t>
  </si>
  <si>
    <t>HSP-806b719c-0ac3-3bec-9c97-178b5e44f8cd</t>
  </si>
  <si>
    <t>https://resolver.staatsbibliothek-berlin.de/HSP00064F6200000000</t>
  </si>
  <si>
    <t>Cod. Donaueschingen 740</t>
  </si>
  <si>
    <t>HSP-5aaac491-ee7c-39eb-a3e3-a3d9d55b6318</t>
  </si>
  <si>
    <t>HSP-e7d9d3ef-2580-3059-91c4-a54cb062b5d3</t>
  </si>
  <si>
    <t>Cod. Donaueschingen 739</t>
  </si>
  <si>
    <t>https://resolver.staatsbibliothek-berlin.de/HSP0006DF7100000000</t>
  </si>
  <si>
    <t>HSP-86e7b57d-9e79-326a-9f37-1c23c1345116</t>
  </si>
  <si>
    <t>HSP-bfb94392-c4d2-3215-90dc-8873ca3f1ed1</t>
  </si>
  <si>
    <t>https://resolver.staatsbibliothek-berlin.de/HSP00064F6300000000</t>
  </si>
  <si>
    <t>Cod. Donaueschingen 747</t>
  </si>
  <si>
    <t>HSP-73ffebd1-3937-3893-9de7-4acd94b45eb9</t>
  </si>
  <si>
    <t>HSP-8b0d8370-1ccd-394d-a4aa-9845300a8f1a</t>
  </si>
  <si>
    <t>https://resolver.staatsbibliothek-berlin.de/HSP0006DF7500000000</t>
  </si>
  <si>
    <t>https://resolver.staatsbibliothek-berlin.de/HSP00064F6400000000</t>
  </si>
  <si>
    <t>https://resolver.staatsbibliothek-berlin.de/HSP0006DF6B00000000</t>
  </si>
  <si>
    <t>Cod. Donaueschingen 741</t>
  </si>
  <si>
    <t>HSP-2ff70bf5-237a-33f2-87c4-974cfa9ff927</t>
  </si>
  <si>
    <t>HSP-82132307-fa72-311e-9b6a-9ec8206fb9b7</t>
  </si>
  <si>
    <t>https://resolver.staatsbibliothek-berlin.de/HSP00064F6500000000</t>
  </si>
  <si>
    <t>https://resolver.staatsbibliothek-berlin.de/HSP0006DF6D00000000</t>
  </si>
  <si>
    <t>Cod. Donaueschingen 742</t>
  </si>
  <si>
    <t>HSP-650bdd1e-398d-3572-a661-7941d5e6b6b0</t>
  </si>
  <si>
    <t>HSP-a7bb0aa3-4ba6-3651-a32d-4e71dc1dc729</t>
  </si>
  <si>
    <t>https://resolver.staatsbibliothek-berlin.de/HSP00064F6600000000</t>
  </si>
  <si>
    <t>Cod. Donaueschingen 743</t>
  </si>
  <si>
    <t>HSP-8f8f7fcb-f9e8-37eb-9e28-dba210bf8b16</t>
  </si>
  <si>
    <t>HSP-87d1c54b-efc9-3e78-968d-27672b7e2f19</t>
  </si>
  <si>
    <t>https://resolver.staatsbibliothek-berlin.de/HSP0006DF6E00000000</t>
  </si>
  <si>
    <t>https://resolver.staatsbibliothek-berlin.de/HSP00064F6700000000</t>
  </si>
  <si>
    <t>Cod. Donaueschingen D 5</t>
  </si>
  <si>
    <t>HSP-99b3c51f-51cd-3a89-bfd3-af5f9dc5e2c9</t>
  </si>
  <si>
    <t>HSP-870087bf-47b4-349d-839d-884beac033c8</t>
  </si>
  <si>
    <t>https://resolver.staatsbibliothek-berlin.de/HSP0006DF7800000000</t>
  </si>
  <si>
    <t>Cod. Donaueschingen 744</t>
  </si>
  <si>
    <t>HSP-da6f60ea-984a-3807-bfad-1241246ce7fd</t>
  </si>
  <si>
    <t>HSP-b0f7130e-92ee-3bf2-ab90-0be6f35a0b1d</t>
  </si>
  <si>
    <t>https://resolver.staatsbibliothek-berlin.de/HSP00064F6800000000</t>
  </si>
  <si>
    <t>https://resolver.staatsbibliothek-berlin.de/HSP0006DF7300000000</t>
  </si>
  <si>
    <t>https://resolver.staatsbibliothek-berlin.de/HSP00064F6900000000</t>
  </si>
  <si>
    <t>Cod. Donaueschingen D 3</t>
  </si>
  <si>
    <t>HSP-a7fb8a8c-3908-391e-94cf-671201804ea6</t>
  </si>
  <si>
    <t>HSP-ac910d3f-2208-36a9-abe8-3433577e71f7</t>
  </si>
  <si>
    <t>https://resolver.staatsbibliothek-berlin.de/HSP0006DF7700000000</t>
  </si>
  <si>
    <t>https://resolver.staatsbibliothek-berlin.de/HSP00064F6A00000000</t>
  </si>
  <si>
    <t>Cod. Donaueschingen D 10a</t>
  </si>
  <si>
    <t>HSP-af200c2f-2ad8-3ca2-bad7-dc940e796bd9</t>
  </si>
  <si>
    <t>HSP-bd6cfa47-d6d9-3c40-971f-64f8a3796224</t>
  </si>
  <si>
    <t>https://resolver.staatsbibliothek-berlin.de/HSP0006DF7A00000000</t>
  </si>
  <si>
    <t>https://resolver.staatsbibliothek-berlin.de/HSP00064F6B00000000</t>
  </si>
  <si>
    <t>https://resolver.staatsbibliothek-berlin.de/HSP0006DF6F00000000</t>
  </si>
  <si>
    <t>https://resolver.staatsbibliothek-berlin.de/HSP00064F6C00000000</t>
  </si>
  <si>
    <t>https://resolver.staatsbibliothek-berlin.de/HSP0006DF6C00000000</t>
  </si>
  <si>
    <t>Cod. Donaueschingen 785</t>
  </si>
  <si>
    <t>HSP-6ebb0c23-9ced-3165-8da0-e33bb6b3ea2c</t>
  </si>
  <si>
    <t>HSP-bc990a7c-ed2b-4bd4-a3c6-16631f853346</t>
  </si>
  <si>
    <t>https://resolver.staatsbibliothek-berlin.de/HSP00064F6D00000000</t>
  </si>
  <si>
    <t>https://resolver.staatsbibliothek-berlin.de/HSP00070AB000000000</t>
  </si>
  <si>
    <t>Cod. Donaueschingen 787</t>
  </si>
  <si>
    <t>HSP-eb778584-0547-31ee-906d-3db165ec0fc0</t>
  </si>
  <si>
    <t>HSP-2abe4159-0ab4-3947-bc9d-b22315e59a52</t>
  </si>
  <si>
    <t>https://resolver.staatsbibliothek-berlin.de/HSP00064F6E00000000</t>
  </si>
  <si>
    <t>https://resolver.staatsbibliothek-berlin.de/HSP00070AB100000000</t>
  </si>
  <si>
    <t>Cod. Donaueschingen 788</t>
  </si>
  <si>
    <t>HSP-70e6d59d-c145-3811-9029-e20adf812b2c</t>
  </si>
  <si>
    <t>HSP-80897c1f-6f2f-353a-ba3c-5b2faeba44d4</t>
  </si>
  <si>
    <t>https://resolver.staatsbibliothek-berlin.de/HSP00064F6F00000000</t>
  </si>
  <si>
    <t>https://resolver.staatsbibliothek-berlin.de/HSP00070AB200000000</t>
  </si>
  <si>
    <t>Cod. Donaueschingen 792</t>
  </si>
  <si>
    <t>HSP-a84b438e-8984-3c4d-a05d-8dfa51c64554</t>
  </si>
  <si>
    <t>HSP-9bbf2f83-82ac-3949-ae54-33590342f5b8</t>
  </si>
  <si>
    <t>https://resolver.staatsbibliothek-berlin.de/HSP00064F7000000000</t>
  </si>
  <si>
    <t>HSP-93896de0-0507-3f8b-8aa7-42e6d527d914</t>
  </si>
  <si>
    <t>https://resolver.staatsbibliothek-berlin.de/HSP00070AB300000000</t>
  </si>
  <si>
    <t>Cod. Donaueschingen 794</t>
  </si>
  <si>
    <t>HSP-4764ae0a-9c01-3f12-8dc0-46411747c7eb</t>
  </si>
  <si>
    <t>HSP-b54da382-6163-3f50-bb30-bb5199ca602e</t>
  </si>
  <si>
    <t>https://resolver.staatsbibliothek-berlin.de/HSP00064F7100000000</t>
  </si>
  <si>
    <t>Cod. Donaueschingen D 2,1</t>
  </si>
  <si>
    <t>HSP-821b9494-3dc4-3603-9df0-3daf628b0c22</t>
  </si>
  <si>
    <t>HSP-9e103eb4-2feb-3f22-b182-fb51bbe25326</t>
  </si>
  <si>
    <t>https://resolver.staatsbibliothek-berlin.de/HSP0007102300000000</t>
  </si>
  <si>
    <t>Cod. Donaueschingen 809</t>
  </si>
  <si>
    <t>HSP-5280aee1-8f35-3563-8438-6c28a0d44fb0</t>
  </si>
  <si>
    <t>HSP-b0aa4795-7367-3e18-82b3-f4339a89b707</t>
  </si>
  <si>
    <t>Cod. Donaueschingen D 2,2</t>
  </si>
  <si>
    <t>https://resolver.staatsbibliothek-berlin.de/HSP00064F7200000000</t>
  </si>
  <si>
    <t>HSP-c8c4fcfd-82f4-3cfd-8566-17b5503f7908</t>
  </si>
  <si>
    <t>HSP-c68a784e-6f52-3ec9-8602-8cf9af4aadcc</t>
  </si>
  <si>
    <t>https://resolver.staatsbibliothek-berlin.de/HSP0007102400000000</t>
  </si>
  <si>
    <t>MANUELL</t>
  </si>
  <si>
    <t>Cod. Donaueschingen 811</t>
  </si>
  <si>
    <t>HSP-de7b9978-8496-30ec-9f10-1f15f7e8390c</t>
  </si>
  <si>
    <t>HSP-ea2a9b12-0aeb-32f7-9a1d-dea24f053bcb</t>
  </si>
  <si>
    <t>https://resolver.staatsbibliothek-berlin.de/HSP00064F7300000000</t>
  </si>
  <si>
    <t>https://resolver.staatsbibliothek-berlin.de/HSP0007128100000000</t>
  </si>
  <si>
    <t>Cod. Donaueschingen 815</t>
  </si>
  <si>
    <t>HSP-94537526-b447-32e5-a3ed-d39c79adda14</t>
  </si>
  <si>
    <t>HSP-181f0293-06ff-3869-ae5f-f2556e9c80e6</t>
  </si>
  <si>
    <t>https://resolver.staatsbibliothek-berlin.de/HSP00064F7400000000</t>
  </si>
  <si>
    <t>Cod. Donaueschingen C III b 31</t>
  </si>
  <si>
    <t>HSP-857f213e-2c3f-4345-9bcd-9ac1591e7ebe</t>
  </si>
  <si>
    <t>HSP-35e4f217-892d-3d16-9d31-55e50126554c</t>
  </si>
  <si>
    <t>https://resolver.staatsbibliothek-berlin.de/HSP0007128200000000</t>
  </si>
  <si>
    <t>https://resolver.staatsbibliothek-berlin.de/HSP00064F7500000000</t>
  </si>
  <si>
    <t>https://resolver.staatsbibliothek-berlin.de/HSP0007102700000000</t>
  </si>
  <si>
    <t>https://resolver.staatsbibliothek-berlin.de/HSP00064F7600000000</t>
  </si>
  <si>
    <t>https://resolver.staatsbibliothek-berlin.de/HSP0007127F00000000</t>
  </si>
  <si>
    <t>https://resolver.staatsbibliothek-berlin.de/HSP00064F7700000000</t>
  </si>
  <si>
    <t>Hoffmann, Werner</t>
  </si>
  <si>
    <t>https://resolver.staatsbibliothek-berlin.de/HSP0007102600000000</t>
  </si>
  <si>
    <t>https://resolver.staatsbibliothek-berlin.de/HSP00064F7900000000</t>
  </si>
  <si>
    <t>Cod. Donaueschingen 883</t>
  </si>
  <si>
    <t>HSP-7f71d1bd-78f4-4ca3-b724-41886071097e</t>
  </si>
  <si>
    <t>HSP-93d68fa0-2b62-38de-886c-d96243c17c38</t>
  </si>
  <si>
    <t>https://resolver.staatsbibliothek-berlin.de/HSP0007128300000000</t>
  </si>
  <si>
    <t>https://resolver.staatsbibliothek-berlin.de/HSP00064F7A00000000</t>
  </si>
  <si>
    <t>Cod. Donaueschingen E III 1</t>
  </si>
  <si>
    <t>HSP-f3461f7e-f249-3aa5-b044-1b51734ef352</t>
  </si>
  <si>
    <t>HSP-e7fc6ac5-e529-3008-b072-bda703d3a22b</t>
  </si>
  <si>
    <t>https://resolver.staatsbibliothek-berlin.de/HSP000711E800000000</t>
  </si>
  <si>
    <t>https://resolver.staatsbibliothek-berlin.de/HSP00064F7B00000000</t>
  </si>
  <si>
    <t>https://resolver.staatsbibliothek-berlin.de/HSP0007102500000000</t>
  </si>
  <si>
    <t>https://resolver.staatsbibliothek-berlin.de/HSP00064F7C00000000</t>
  </si>
  <si>
    <t>https://resolver.staatsbibliothek-berlin.de/HSP000711E600000000</t>
  </si>
  <si>
    <t>Cod. Donaueschingen E III 2</t>
  </si>
  <si>
    <t>https://resolver.staatsbibliothek-berlin.de/HSP00064F7D00000000</t>
  </si>
  <si>
    <t>HSP-2f77911a-5e89-3865-b9a3-95b156910cda</t>
  </si>
  <si>
    <t>HSP-8a9845d6-a492-3a8a-8dfc-03783edba690</t>
  </si>
  <si>
    <t>https://resolver.staatsbibliothek-berlin.de/HSP000711E700000000</t>
  </si>
  <si>
    <t>https://resolver.staatsbibliothek-berlin.de/HSP00064F7E00000000</t>
  </si>
  <si>
    <t>https://resolver.staatsbibliothek-berlin.de/HSP000711EA00000000</t>
  </si>
  <si>
    <t>https://resolver.staatsbibliothek-berlin.de/HSP00064F7F00000000</t>
  </si>
  <si>
    <t>https://resolver.staatsbibliothek-berlin.de/HSP0007128000000000</t>
  </si>
  <si>
    <t>https://resolver.staatsbibliothek-berlin.de/HSP0007102800000000</t>
  </si>
  <si>
    <t>https://resolver.staatsbibliothek-berlin.de/HSP00064F8000000000</t>
  </si>
  <si>
    <t>https://resolver.staatsbibliothek-berlin.de/HSP000711EC00000000</t>
  </si>
  <si>
    <t>https://resolver.staatsbibliothek-berlin.de/HSP00064F8100000000</t>
  </si>
  <si>
    <t>Cod. Donaueschingen C III b 27</t>
  </si>
  <si>
    <t>HSP-be5141fb-8705-3396-ac32-139de39e2e6f</t>
  </si>
  <si>
    <t>HSP-5d43fa81-13af-3295-adac-f604ad90b5ae</t>
  </si>
  <si>
    <t>https://resolver.staatsbibliothek-berlin.de/HSP000711E900000000</t>
  </si>
  <si>
    <t>https://resolver.staatsbibliothek-berlin.de/HSP00064F8200000000</t>
  </si>
  <si>
    <t>Cod. Donaueschingen 570c</t>
  </si>
  <si>
    <t>HSP-0b42866c-aea6-388f-b2b9-8c59d7ed504c</t>
  </si>
  <si>
    <t>HSP-dcd2bd6f-7545-39e3-85ab-b12127f55b21</t>
  </si>
  <si>
    <t>https://resolver.staatsbibliothek-berlin.de/HSP0007122100000000</t>
  </si>
  <si>
    <t>https://resolver.staatsbibliothek-berlin.de/HSP00064F8300000000</t>
  </si>
  <si>
    <t>https://resolver.staatsbibliothek-berlin.de/HSP0007121F00000000</t>
  </si>
  <si>
    <t>https://resolver.staatsbibliothek-berlin.de/HSP00064F8400000000</t>
  </si>
  <si>
    <t>https://resolver.staatsbibliothek-berlin.de/HSP0007122200000000</t>
  </si>
  <si>
    <t>https://resolver.staatsbibliothek-berlin.de/HSP00064F8500000000</t>
  </si>
  <si>
    <t>https://resolver.staatsbibliothek-berlin.de/HSP0007121E00000000</t>
  </si>
  <si>
    <t>https://resolver.staatsbibliothek-berlin.de/HSP00064F8600000000</t>
  </si>
  <si>
    <t>Cod. Donaueschingen 570b</t>
  </si>
  <si>
    <t>https://resolver.staatsbibliothek-berlin.de/HSP00064F8700000000</t>
  </si>
  <si>
    <t>HSP-4e12ceaa-df08-3d6b-9cb8-009306f6f1f3</t>
  </si>
  <si>
    <t>HSP-b367b118-3f8c-32a9-b525-0c3216f2b8f2</t>
  </si>
  <si>
    <t>https://resolver.staatsbibliothek-berlin.de/HSP0007122000000000</t>
  </si>
  <si>
    <t>https://resolver.staatsbibliothek-berlin.de/HSP00064F8800000000</t>
  </si>
  <si>
    <t>in Arbeit</t>
  </si>
  <si>
    <t>HSP-f9c5118e-0799-4402-b7fb-ce64a2890b3a</t>
  </si>
  <si>
    <t>570a</t>
  </si>
  <si>
    <t>INTERN</t>
  </si>
  <si>
    <t>https://resolver.staatsbibliothek-berlin.de/HSP00064F8900000000</t>
  </si>
  <si>
    <t>https://resolver.staatsbibliothek-berlin.de/HSP00064F8A00000000</t>
  </si>
  <si>
    <t>https://resolver.staatsbibliothek-berlin.de/HSP00064F8B00000000</t>
  </si>
  <si>
    <t>https://resolver.staatsbibliothek-berlin.de/HSP00064F8C00000000</t>
  </si>
  <si>
    <t>https://resolver.staatsbibliothek-berlin.de/HSP00064F8D00000000</t>
  </si>
  <si>
    <t>570b</t>
  </si>
  <si>
    <t>https://resolver.staatsbibliothek-berlin.de/HSP00064F8E00000000</t>
  </si>
  <si>
    <t>https://resolver.staatsbibliothek-berlin.de/HSP00064F8F00000000</t>
  </si>
  <si>
    <t>https://resolver.staatsbibliothek-berlin.de/HSP0006524900000000</t>
  </si>
  <si>
    <t>https://resolver.staatsbibliothek-berlin.de/HSP00067E3400000000</t>
  </si>
  <si>
    <t>https://resolver.staatsbibliothek-berlin.de/HSP00067E3500000000</t>
  </si>
  <si>
    <t>570c</t>
  </si>
  <si>
    <t xml:space="preserve">- </t>
  </si>
  <si>
    <t>https://resolver.staatsbibliothek-berlin.de/HSP00067E3600000000</t>
  </si>
  <si>
    <t>https://resolver.staatsbibliothek-berlin.de/HSP00067E3700000000</t>
  </si>
  <si>
    <t>https://resolver.staatsbibliothek-berlin.de/HSP0006DF5E00000000</t>
  </si>
  <si>
    <t>https://resolver.staatsbibliothek-berlin.de/HSP0006DF5F00000000</t>
  </si>
  <si>
    <t>https://resolver.staatsbibliothek-berlin.de/HSP0006DF6000000000</t>
  </si>
  <si>
    <t>https://resolver.staatsbibliothek-berlin.de/HSP0006DF6100000000</t>
  </si>
  <si>
    <t>43, 22, 69</t>
  </si>
  <si>
    <t>A III 28</t>
  </si>
  <si>
    <t>C III b 27</t>
  </si>
  <si>
    <t>C III b 31</t>
  </si>
  <si>
    <t>D 10a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</si>
</sst>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 hh:mm"/>
    <numFmt numFmtId="165" formatCode="d.m.yyyy hh:mm:ss"/>
    <numFmt numFmtId="166" formatCode="dd.mm.yyyy hh:mm:ss"/>
  </numFmts>
  <fonts count="11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Nunito"/>
    </font>
    <font>
      <color theme="1"/>
      <name val="Nunito"/>
    </font>
    <font>
      <u/>
      <sz val="11.0"/>
      <color rgb="FF0000FF"/>
      <name val="Arial"/>
    </font>
    <font>
      <u/>
      <sz val="11.0"/>
      <color rgb="FF0000FF"/>
      <name val="Nunito"/>
    </font>
    <font>
      <b/>
      <color theme="1"/>
      <name val="Nunito"/>
    </font>
    <font>
      <sz val="8.0"/>
      <color theme="1"/>
      <name val="Nunito"/>
    </font>
    <font>
      <u/>
      <color rgb="FF0000FF"/>
      <name val="Nunito"/>
    </font>
    <font>
      <sz val="11.0"/>
      <color rgb="FF9C0006"/>
      <name val="Arial"/>
    </font>
    <font>
      <u/>
      <color rgb="FF0000FF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4">
    <border/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0" fontId="3" numFmtId="0" xfId="0" applyFont="1"/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1" fillId="0" fontId="6" numFmtId="49" xfId="0" applyAlignment="1" applyBorder="1" applyFont="1" applyNumberForma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2" fontId="9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3" displayName="Hss_BLB_Lassberg" name="Hss_BLB_Lassberg" id="1">
  <tableColumns count="8">
    <tableColumn name="Nr." id="1"/>
    <tableColumn name="Signatur" id="2"/>
    <tableColumn name="[Nummer Signatur]" id="3"/>
    <tableColumn name="[Nummer Laßberg]" id="4"/>
    <tableColumn name="HSP-ID KOD" id="5"/>
    <tableColumn name="Permalink KOD" id="6"/>
    <tableColumn name="HSP-ID-Beschreibung" id="7"/>
    <tableColumn name="Permalink Beschreibung" id="8"/>
  </tableColumns>
  <tableStyleInfo name="Tabellenblat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solver.staatsbibliothek-berlin.de/HSP000539A700000000" TargetMode="External"/><Relationship Id="rId190" Type="http://schemas.openxmlformats.org/officeDocument/2006/relationships/hyperlink" Target="https://resolver.staatsbibliothek-berlin.de/HSP00053A3D00000000" TargetMode="External"/><Relationship Id="rId42" Type="http://schemas.openxmlformats.org/officeDocument/2006/relationships/hyperlink" Target="https://resolver.staatsbibliothek-berlin.de/HSP000539A900000000" TargetMode="External"/><Relationship Id="rId41" Type="http://schemas.openxmlformats.org/officeDocument/2006/relationships/hyperlink" Target="https://resolver.staatsbibliothek-berlin.de/HSP000539A800000000" TargetMode="External"/><Relationship Id="rId44" Type="http://schemas.openxmlformats.org/officeDocument/2006/relationships/hyperlink" Target="https://resolver.staatsbibliothek-berlin.de/HSP000539AB00000000" TargetMode="External"/><Relationship Id="rId194" Type="http://schemas.openxmlformats.org/officeDocument/2006/relationships/hyperlink" Target="https://resolver.staatsbibliothek-berlin.de/HSP00053A4100000000" TargetMode="External"/><Relationship Id="rId43" Type="http://schemas.openxmlformats.org/officeDocument/2006/relationships/hyperlink" Target="https://resolver.staatsbibliothek-berlin.de/HSP000539AA00000000" TargetMode="External"/><Relationship Id="rId193" Type="http://schemas.openxmlformats.org/officeDocument/2006/relationships/hyperlink" Target="https://resolver.staatsbibliothek-berlin.de/HSP00053A4000000000" TargetMode="External"/><Relationship Id="rId46" Type="http://schemas.openxmlformats.org/officeDocument/2006/relationships/hyperlink" Target="https://resolver.staatsbibliothek-berlin.de/HSP000539AD00000000" TargetMode="External"/><Relationship Id="rId192" Type="http://schemas.openxmlformats.org/officeDocument/2006/relationships/hyperlink" Target="https://resolver.staatsbibliothek-berlin.de/HSP00053A3F00000000" TargetMode="External"/><Relationship Id="rId45" Type="http://schemas.openxmlformats.org/officeDocument/2006/relationships/hyperlink" Target="https://resolver.staatsbibliothek-berlin.de/HSP000539AC00000000" TargetMode="External"/><Relationship Id="rId191" Type="http://schemas.openxmlformats.org/officeDocument/2006/relationships/hyperlink" Target="https://resolver.staatsbibliothek-berlin.de/HSP00053A3E00000000" TargetMode="External"/><Relationship Id="rId48" Type="http://schemas.openxmlformats.org/officeDocument/2006/relationships/hyperlink" Target="https://resolver.staatsbibliothek-berlin.de/HSP000539AF00000000" TargetMode="External"/><Relationship Id="rId187" Type="http://schemas.openxmlformats.org/officeDocument/2006/relationships/hyperlink" Target="https://resolver.staatsbibliothek-berlin.de/HSP00053A3A00000000" TargetMode="External"/><Relationship Id="rId47" Type="http://schemas.openxmlformats.org/officeDocument/2006/relationships/hyperlink" Target="https://resolver.staatsbibliothek-berlin.de/HSP000539AE00000000" TargetMode="External"/><Relationship Id="rId186" Type="http://schemas.openxmlformats.org/officeDocument/2006/relationships/hyperlink" Target="https://resolver.staatsbibliothek-berlin.de/HSP00053A3900000000" TargetMode="External"/><Relationship Id="rId185" Type="http://schemas.openxmlformats.org/officeDocument/2006/relationships/hyperlink" Target="https://resolver.staatsbibliothek-berlin.de/HSP00053A3800000000" TargetMode="External"/><Relationship Id="rId49" Type="http://schemas.openxmlformats.org/officeDocument/2006/relationships/hyperlink" Target="https://resolver.staatsbibliothek-berlin.de/HSP000539B000000000" TargetMode="External"/><Relationship Id="rId184" Type="http://schemas.openxmlformats.org/officeDocument/2006/relationships/hyperlink" Target="https://resolver.staatsbibliothek-berlin.de/HSP00053A3700000000" TargetMode="External"/><Relationship Id="rId189" Type="http://schemas.openxmlformats.org/officeDocument/2006/relationships/hyperlink" Target="https://resolver.staatsbibliothek-berlin.de/HSP00053A3C00000000" TargetMode="External"/><Relationship Id="rId188" Type="http://schemas.openxmlformats.org/officeDocument/2006/relationships/hyperlink" Target="https://resolver.staatsbibliothek-berlin.de/HSP00053A3B00000000" TargetMode="External"/><Relationship Id="rId31" Type="http://schemas.openxmlformats.org/officeDocument/2006/relationships/hyperlink" Target="https://resolver.staatsbibliothek-berlin.de/HSP0005399E00000000" TargetMode="External"/><Relationship Id="rId30" Type="http://schemas.openxmlformats.org/officeDocument/2006/relationships/hyperlink" Target="https://resolver.staatsbibliothek-berlin.de/HSP0005399D00000000" TargetMode="External"/><Relationship Id="rId33" Type="http://schemas.openxmlformats.org/officeDocument/2006/relationships/hyperlink" Target="https://resolver.staatsbibliothek-berlin.de/HSP000539A000000000" TargetMode="External"/><Relationship Id="rId183" Type="http://schemas.openxmlformats.org/officeDocument/2006/relationships/hyperlink" Target="https://resolver.staatsbibliothek-berlin.de/HSP00053A3600000000" TargetMode="External"/><Relationship Id="rId32" Type="http://schemas.openxmlformats.org/officeDocument/2006/relationships/hyperlink" Target="https://resolver.staatsbibliothek-berlin.de/HSP0005399F00000000" TargetMode="External"/><Relationship Id="rId182" Type="http://schemas.openxmlformats.org/officeDocument/2006/relationships/hyperlink" Target="https://resolver.staatsbibliothek-berlin.de/HSP00053A3500000000" TargetMode="External"/><Relationship Id="rId35" Type="http://schemas.openxmlformats.org/officeDocument/2006/relationships/hyperlink" Target="https://resolver.staatsbibliothek-berlin.de/HSP000539A200000000" TargetMode="External"/><Relationship Id="rId181" Type="http://schemas.openxmlformats.org/officeDocument/2006/relationships/hyperlink" Target="https://resolver.staatsbibliothek-berlin.de/HSP00053A3400000000" TargetMode="External"/><Relationship Id="rId34" Type="http://schemas.openxmlformats.org/officeDocument/2006/relationships/hyperlink" Target="https://resolver.staatsbibliothek-berlin.de/HSP000539A100000000" TargetMode="External"/><Relationship Id="rId180" Type="http://schemas.openxmlformats.org/officeDocument/2006/relationships/hyperlink" Target="https://resolver.staatsbibliothek-berlin.de/HSP00053A3300000000" TargetMode="External"/><Relationship Id="rId37" Type="http://schemas.openxmlformats.org/officeDocument/2006/relationships/hyperlink" Target="https://resolver.staatsbibliothek-berlin.de/HSP000539A400000000" TargetMode="External"/><Relationship Id="rId176" Type="http://schemas.openxmlformats.org/officeDocument/2006/relationships/hyperlink" Target="https://resolver.staatsbibliothek-berlin.de/HSP00053A2F00000000" TargetMode="External"/><Relationship Id="rId36" Type="http://schemas.openxmlformats.org/officeDocument/2006/relationships/hyperlink" Target="https://resolver.staatsbibliothek-berlin.de/HSP000539A300000000" TargetMode="External"/><Relationship Id="rId175" Type="http://schemas.openxmlformats.org/officeDocument/2006/relationships/hyperlink" Target="https://resolver.staatsbibliothek-berlin.de/HSP00053A2E00000000" TargetMode="External"/><Relationship Id="rId39" Type="http://schemas.openxmlformats.org/officeDocument/2006/relationships/hyperlink" Target="https://resolver.staatsbibliothek-berlin.de/HSP000539A600000000" TargetMode="External"/><Relationship Id="rId174" Type="http://schemas.openxmlformats.org/officeDocument/2006/relationships/hyperlink" Target="https://resolver.staatsbibliothek-berlin.de/HSP00053A2D00000000" TargetMode="External"/><Relationship Id="rId38" Type="http://schemas.openxmlformats.org/officeDocument/2006/relationships/hyperlink" Target="https://resolver.staatsbibliothek-berlin.de/HSP000539A500000000" TargetMode="External"/><Relationship Id="rId173" Type="http://schemas.openxmlformats.org/officeDocument/2006/relationships/hyperlink" Target="https://resolver.staatsbibliothek-berlin.de/HSP00053A2C00000000" TargetMode="External"/><Relationship Id="rId179" Type="http://schemas.openxmlformats.org/officeDocument/2006/relationships/hyperlink" Target="https://resolver.staatsbibliothek-berlin.de/HSP00053A3200000000" TargetMode="External"/><Relationship Id="rId178" Type="http://schemas.openxmlformats.org/officeDocument/2006/relationships/hyperlink" Target="https://resolver.staatsbibliothek-berlin.de/HSP00053A3100000000" TargetMode="External"/><Relationship Id="rId177" Type="http://schemas.openxmlformats.org/officeDocument/2006/relationships/hyperlink" Target="https://resolver.staatsbibliothek-berlin.de/HSP00053A3000000000" TargetMode="External"/><Relationship Id="rId20" Type="http://schemas.openxmlformats.org/officeDocument/2006/relationships/hyperlink" Target="https://resolver.staatsbibliothek-berlin.de/HSP0005399300000000" TargetMode="External"/><Relationship Id="rId22" Type="http://schemas.openxmlformats.org/officeDocument/2006/relationships/hyperlink" Target="https://resolver.staatsbibliothek-berlin.de/HSP0005399500000000" TargetMode="External"/><Relationship Id="rId21" Type="http://schemas.openxmlformats.org/officeDocument/2006/relationships/hyperlink" Target="https://resolver.staatsbibliothek-berlin.de/HSP0005399400000000" TargetMode="External"/><Relationship Id="rId24" Type="http://schemas.openxmlformats.org/officeDocument/2006/relationships/hyperlink" Target="https://resolver.staatsbibliothek-berlin.de/HSP0005399700000000" TargetMode="External"/><Relationship Id="rId23" Type="http://schemas.openxmlformats.org/officeDocument/2006/relationships/hyperlink" Target="https://resolver.staatsbibliothek-berlin.de/HSP0005399600000000" TargetMode="External"/><Relationship Id="rId26" Type="http://schemas.openxmlformats.org/officeDocument/2006/relationships/hyperlink" Target="https://resolver.staatsbibliothek-berlin.de/HSP0005399900000000" TargetMode="External"/><Relationship Id="rId25" Type="http://schemas.openxmlformats.org/officeDocument/2006/relationships/hyperlink" Target="https://resolver.staatsbibliothek-berlin.de/HSP0005399800000000" TargetMode="External"/><Relationship Id="rId28" Type="http://schemas.openxmlformats.org/officeDocument/2006/relationships/hyperlink" Target="https://resolver.staatsbibliothek-berlin.de/HSP0005399B00000000" TargetMode="External"/><Relationship Id="rId27" Type="http://schemas.openxmlformats.org/officeDocument/2006/relationships/hyperlink" Target="https://resolver.staatsbibliothek-berlin.de/HSP0005399A00000000" TargetMode="External"/><Relationship Id="rId29" Type="http://schemas.openxmlformats.org/officeDocument/2006/relationships/hyperlink" Target="https://resolver.staatsbibliothek-berlin.de/HSP0005399C00000000" TargetMode="External"/><Relationship Id="rId11" Type="http://schemas.openxmlformats.org/officeDocument/2006/relationships/hyperlink" Target="https://resolver.staatsbibliothek-berlin.de/HSP0005398A00000000" TargetMode="External"/><Relationship Id="rId10" Type="http://schemas.openxmlformats.org/officeDocument/2006/relationships/hyperlink" Target="https://resolver.staatsbibliothek-berlin.de/HSP0005398900000000" TargetMode="External"/><Relationship Id="rId13" Type="http://schemas.openxmlformats.org/officeDocument/2006/relationships/hyperlink" Target="https://resolver.staatsbibliothek-berlin.de/HSP0005398C00000000" TargetMode="External"/><Relationship Id="rId12" Type="http://schemas.openxmlformats.org/officeDocument/2006/relationships/hyperlink" Target="https://resolver.staatsbibliothek-berlin.de/HSP0005398B00000000" TargetMode="External"/><Relationship Id="rId15" Type="http://schemas.openxmlformats.org/officeDocument/2006/relationships/hyperlink" Target="https://resolver.staatsbibliothek-berlin.de/HSP0005398E00000000" TargetMode="External"/><Relationship Id="rId198" Type="http://schemas.openxmlformats.org/officeDocument/2006/relationships/hyperlink" Target="https://resolver.staatsbibliothek-berlin.de/HSP00053A4500000000" TargetMode="External"/><Relationship Id="rId14" Type="http://schemas.openxmlformats.org/officeDocument/2006/relationships/hyperlink" Target="https://resolver.staatsbibliothek-berlin.de/HSP0005398D00000000" TargetMode="External"/><Relationship Id="rId197" Type="http://schemas.openxmlformats.org/officeDocument/2006/relationships/hyperlink" Target="https://resolver.staatsbibliothek-berlin.de/HSP00053A4400000000" TargetMode="External"/><Relationship Id="rId17" Type="http://schemas.openxmlformats.org/officeDocument/2006/relationships/hyperlink" Target="https://resolver.staatsbibliothek-berlin.de/HSP0005399000000000" TargetMode="External"/><Relationship Id="rId196" Type="http://schemas.openxmlformats.org/officeDocument/2006/relationships/hyperlink" Target="https://resolver.staatsbibliothek-berlin.de/HSP00053A4300000000" TargetMode="External"/><Relationship Id="rId16" Type="http://schemas.openxmlformats.org/officeDocument/2006/relationships/hyperlink" Target="https://resolver.staatsbibliothek-berlin.de/HSP0005398F00000000" TargetMode="External"/><Relationship Id="rId195" Type="http://schemas.openxmlformats.org/officeDocument/2006/relationships/hyperlink" Target="https://resolver.staatsbibliothek-berlin.de/HSP00053A4200000000" TargetMode="External"/><Relationship Id="rId19" Type="http://schemas.openxmlformats.org/officeDocument/2006/relationships/hyperlink" Target="https://resolver.staatsbibliothek-berlin.de/HSP0005399200000000" TargetMode="External"/><Relationship Id="rId18" Type="http://schemas.openxmlformats.org/officeDocument/2006/relationships/hyperlink" Target="https://resolver.staatsbibliothek-berlin.de/HSP0005399100000000" TargetMode="External"/><Relationship Id="rId199" Type="http://schemas.openxmlformats.org/officeDocument/2006/relationships/hyperlink" Target="https://resolver.staatsbibliothek-berlin.de/HSP00053A4600000000" TargetMode="External"/><Relationship Id="rId84" Type="http://schemas.openxmlformats.org/officeDocument/2006/relationships/hyperlink" Target="https://resolver.staatsbibliothek-berlin.de/HSP000539D300000000" TargetMode="External"/><Relationship Id="rId83" Type="http://schemas.openxmlformats.org/officeDocument/2006/relationships/hyperlink" Target="https://resolver.staatsbibliothek-berlin.de/HSP000539D200000000" TargetMode="External"/><Relationship Id="rId86" Type="http://schemas.openxmlformats.org/officeDocument/2006/relationships/hyperlink" Target="https://resolver.staatsbibliothek-berlin.de/HSP000539D500000000" TargetMode="External"/><Relationship Id="rId85" Type="http://schemas.openxmlformats.org/officeDocument/2006/relationships/hyperlink" Target="https://resolver.staatsbibliothek-berlin.de/HSP000539D400000000" TargetMode="External"/><Relationship Id="rId88" Type="http://schemas.openxmlformats.org/officeDocument/2006/relationships/hyperlink" Target="https://resolver.staatsbibliothek-berlin.de/HSP000539D700000000" TargetMode="External"/><Relationship Id="rId150" Type="http://schemas.openxmlformats.org/officeDocument/2006/relationships/hyperlink" Target="https://resolver.staatsbibliothek-berlin.de/HSP00053A1500000000" TargetMode="External"/><Relationship Id="rId271" Type="http://schemas.openxmlformats.org/officeDocument/2006/relationships/hyperlink" Target="https://resolver.staatsbibliothek-berlin.de/HSP00064F8800000000" TargetMode="External"/><Relationship Id="rId87" Type="http://schemas.openxmlformats.org/officeDocument/2006/relationships/hyperlink" Target="https://resolver.staatsbibliothek-berlin.de/HSP000539D600000000" TargetMode="External"/><Relationship Id="rId270" Type="http://schemas.openxmlformats.org/officeDocument/2006/relationships/hyperlink" Target="https://resolver.staatsbibliothek-berlin.de/HSP00064F8700000000" TargetMode="External"/><Relationship Id="rId89" Type="http://schemas.openxmlformats.org/officeDocument/2006/relationships/hyperlink" Target="https://resolver.staatsbibliothek-berlin.de/HSP000539D800000000" TargetMode="External"/><Relationship Id="rId80" Type="http://schemas.openxmlformats.org/officeDocument/2006/relationships/hyperlink" Target="https://resolver.staatsbibliothek-berlin.de/HSP000539CF00000000" TargetMode="External"/><Relationship Id="rId82" Type="http://schemas.openxmlformats.org/officeDocument/2006/relationships/hyperlink" Target="https://resolver.staatsbibliothek-berlin.de/HSP000539D100000000" TargetMode="External"/><Relationship Id="rId81" Type="http://schemas.openxmlformats.org/officeDocument/2006/relationships/hyperlink" Target="https://resolver.staatsbibliothek-berlin.de/HSP000539D000000000" TargetMode="External"/><Relationship Id="rId1" Type="http://schemas.openxmlformats.org/officeDocument/2006/relationships/hyperlink" Target="https://resolver.staatsbibliothek-berlin.de/HSP0005398000000000" TargetMode="External"/><Relationship Id="rId2" Type="http://schemas.openxmlformats.org/officeDocument/2006/relationships/hyperlink" Target="https://resolver.staatsbibliothek-berlin.de/HSP0005398100000000" TargetMode="External"/><Relationship Id="rId3" Type="http://schemas.openxmlformats.org/officeDocument/2006/relationships/hyperlink" Target="https://resolver.staatsbibliothek-berlin.de/HSP0005398200000000" TargetMode="External"/><Relationship Id="rId149" Type="http://schemas.openxmlformats.org/officeDocument/2006/relationships/hyperlink" Target="https://resolver.staatsbibliothek-berlin.de/HSP00053A1400000000" TargetMode="External"/><Relationship Id="rId4" Type="http://schemas.openxmlformats.org/officeDocument/2006/relationships/hyperlink" Target="https://resolver.staatsbibliothek-berlin.de/HSP0005398300000000" TargetMode="External"/><Relationship Id="rId148" Type="http://schemas.openxmlformats.org/officeDocument/2006/relationships/hyperlink" Target="https://resolver.staatsbibliothek-berlin.de/HSP00053A1300000000" TargetMode="External"/><Relationship Id="rId269" Type="http://schemas.openxmlformats.org/officeDocument/2006/relationships/hyperlink" Target="https://resolver.staatsbibliothek-berlin.de/HSP00064F8600000000" TargetMode="External"/><Relationship Id="rId9" Type="http://schemas.openxmlformats.org/officeDocument/2006/relationships/hyperlink" Target="https://resolver.staatsbibliothek-berlin.de/HSP0005398800000000" TargetMode="External"/><Relationship Id="rId143" Type="http://schemas.openxmlformats.org/officeDocument/2006/relationships/hyperlink" Target="https://resolver.staatsbibliothek-berlin.de/HSP00053A0E00000000" TargetMode="External"/><Relationship Id="rId264" Type="http://schemas.openxmlformats.org/officeDocument/2006/relationships/hyperlink" Target="https://resolver.staatsbibliothek-berlin.de/HSP00064F8100000000" TargetMode="External"/><Relationship Id="rId142" Type="http://schemas.openxmlformats.org/officeDocument/2006/relationships/hyperlink" Target="https://resolver.staatsbibliothek-berlin.de/HSP00053A0D00000000" TargetMode="External"/><Relationship Id="rId263" Type="http://schemas.openxmlformats.org/officeDocument/2006/relationships/hyperlink" Target="https://resolver.staatsbibliothek-berlin.de/HSP00064F8000000000" TargetMode="External"/><Relationship Id="rId141" Type="http://schemas.openxmlformats.org/officeDocument/2006/relationships/hyperlink" Target="https://resolver.staatsbibliothek-berlin.de/HSP00053A0C00000000" TargetMode="External"/><Relationship Id="rId262" Type="http://schemas.openxmlformats.org/officeDocument/2006/relationships/hyperlink" Target="https://resolver.staatsbibliothek-berlin.de/HSP00064F7F00000000" TargetMode="External"/><Relationship Id="rId140" Type="http://schemas.openxmlformats.org/officeDocument/2006/relationships/hyperlink" Target="https://resolver.staatsbibliothek-berlin.de/HSP00053A0B00000000" TargetMode="External"/><Relationship Id="rId261" Type="http://schemas.openxmlformats.org/officeDocument/2006/relationships/hyperlink" Target="https://resolver.staatsbibliothek-berlin.de/HSP00064F7E00000000" TargetMode="External"/><Relationship Id="rId5" Type="http://schemas.openxmlformats.org/officeDocument/2006/relationships/hyperlink" Target="https://resolver.staatsbibliothek-berlin.de/HSP0005398400000000" TargetMode="External"/><Relationship Id="rId147" Type="http://schemas.openxmlformats.org/officeDocument/2006/relationships/hyperlink" Target="https://resolver.staatsbibliothek-berlin.de/HSP00053A1200000000" TargetMode="External"/><Relationship Id="rId268" Type="http://schemas.openxmlformats.org/officeDocument/2006/relationships/hyperlink" Target="https://resolver.staatsbibliothek-berlin.de/HSP00064F8500000000" TargetMode="External"/><Relationship Id="rId6" Type="http://schemas.openxmlformats.org/officeDocument/2006/relationships/hyperlink" Target="https://resolver.staatsbibliothek-berlin.de/HSP0005398500000000" TargetMode="External"/><Relationship Id="rId146" Type="http://schemas.openxmlformats.org/officeDocument/2006/relationships/hyperlink" Target="https://resolver.staatsbibliothek-berlin.de/HSP00053A1100000000" TargetMode="External"/><Relationship Id="rId267" Type="http://schemas.openxmlformats.org/officeDocument/2006/relationships/hyperlink" Target="https://resolver.staatsbibliothek-berlin.de/HSP00064F8400000000" TargetMode="External"/><Relationship Id="rId7" Type="http://schemas.openxmlformats.org/officeDocument/2006/relationships/hyperlink" Target="https://resolver.staatsbibliothek-berlin.de/HSP0005398600000000" TargetMode="External"/><Relationship Id="rId145" Type="http://schemas.openxmlformats.org/officeDocument/2006/relationships/hyperlink" Target="https://resolver.staatsbibliothek-berlin.de/HSP00053A1000000000" TargetMode="External"/><Relationship Id="rId266" Type="http://schemas.openxmlformats.org/officeDocument/2006/relationships/hyperlink" Target="https://resolver.staatsbibliothek-berlin.de/HSP00064F8300000000" TargetMode="External"/><Relationship Id="rId8" Type="http://schemas.openxmlformats.org/officeDocument/2006/relationships/hyperlink" Target="https://resolver.staatsbibliothek-berlin.de/HSP0005398700000000" TargetMode="External"/><Relationship Id="rId144" Type="http://schemas.openxmlformats.org/officeDocument/2006/relationships/hyperlink" Target="https://resolver.staatsbibliothek-berlin.de/HSP00053A0F00000000" TargetMode="External"/><Relationship Id="rId265" Type="http://schemas.openxmlformats.org/officeDocument/2006/relationships/hyperlink" Target="https://resolver.staatsbibliothek-berlin.de/HSP00064F8200000000" TargetMode="External"/><Relationship Id="rId73" Type="http://schemas.openxmlformats.org/officeDocument/2006/relationships/hyperlink" Target="https://resolver.staatsbibliothek-berlin.de/HSP000539C800000000" TargetMode="External"/><Relationship Id="rId72" Type="http://schemas.openxmlformats.org/officeDocument/2006/relationships/hyperlink" Target="https://resolver.staatsbibliothek-berlin.de/HSP000539C700000000" TargetMode="External"/><Relationship Id="rId75" Type="http://schemas.openxmlformats.org/officeDocument/2006/relationships/hyperlink" Target="https://resolver.staatsbibliothek-berlin.de/HSP000539CA00000000" TargetMode="External"/><Relationship Id="rId74" Type="http://schemas.openxmlformats.org/officeDocument/2006/relationships/hyperlink" Target="https://resolver.staatsbibliothek-berlin.de/HSP000539C900000000" TargetMode="External"/><Relationship Id="rId77" Type="http://schemas.openxmlformats.org/officeDocument/2006/relationships/hyperlink" Target="https://resolver.staatsbibliothek-berlin.de/HSP000539CC00000000" TargetMode="External"/><Relationship Id="rId260" Type="http://schemas.openxmlformats.org/officeDocument/2006/relationships/hyperlink" Target="https://resolver.staatsbibliothek-berlin.de/HSP00064F7D00000000" TargetMode="External"/><Relationship Id="rId76" Type="http://schemas.openxmlformats.org/officeDocument/2006/relationships/hyperlink" Target="https://resolver.staatsbibliothek-berlin.de/HSP000539CB00000000" TargetMode="External"/><Relationship Id="rId79" Type="http://schemas.openxmlformats.org/officeDocument/2006/relationships/hyperlink" Target="https://resolver.staatsbibliothek-berlin.de/HSP000539CE00000000" TargetMode="External"/><Relationship Id="rId78" Type="http://schemas.openxmlformats.org/officeDocument/2006/relationships/hyperlink" Target="https://resolver.staatsbibliothek-berlin.de/HSP000539CD00000000" TargetMode="External"/><Relationship Id="rId71" Type="http://schemas.openxmlformats.org/officeDocument/2006/relationships/hyperlink" Target="https://resolver.staatsbibliothek-berlin.de/HSP000539C600000000" TargetMode="External"/><Relationship Id="rId70" Type="http://schemas.openxmlformats.org/officeDocument/2006/relationships/hyperlink" Target="https://resolver.staatsbibliothek-berlin.de/HSP000539C500000000" TargetMode="External"/><Relationship Id="rId139" Type="http://schemas.openxmlformats.org/officeDocument/2006/relationships/hyperlink" Target="https://resolver.staatsbibliothek-berlin.de/HSP00053A0A00000000" TargetMode="External"/><Relationship Id="rId138" Type="http://schemas.openxmlformats.org/officeDocument/2006/relationships/hyperlink" Target="https://resolver.staatsbibliothek-berlin.de/HSP00053A0900000000" TargetMode="External"/><Relationship Id="rId259" Type="http://schemas.openxmlformats.org/officeDocument/2006/relationships/hyperlink" Target="https://resolver.staatsbibliothek-berlin.de/HSP00064F7C00000000" TargetMode="External"/><Relationship Id="rId137" Type="http://schemas.openxmlformats.org/officeDocument/2006/relationships/hyperlink" Target="https://resolver.staatsbibliothek-berlin.de/HSP00053A0800000000" TargetMode="External"/><Relationship Id="rId258" Type="http://schemas.openxmlformats.org/officeDocument/2006/relationships/hyperlink" Target="https://resolver.staatsbibliothek-berlin.de/HSP00064F7B00000000" TargetMode="External"/><Relationship Id="rId132" Type="http://schemas.openxmlformats.org/officeDocument/2006/relationships/hyperlink" Target="https://resolver.staatsbibliothek-berlin.de/HSP00053A0300000000" TargetMode="External"/><Relationship Id="rId253" Type="http://schemas.openxmlformats.org/officeDocument/2006/relationships/hyperlink" Target="https://resolver.staatsbibliothek-berlin.de/HSP00064F7500000000" TargetMode="External"/><Relationship Id="rId131" Type="http://schemas.openxmlformats.org/officeDocument/2006/relationships/hyperlink" Target="https://resolver.staatsbibliothek-berlin.de/HSP00053A0200000000" TargetMode="External"/><Relationship Id="rId252" Type="http://schemas.openxmlformats.org/officeDocument/2006/relationships/hyperlink" Target="https://resolver.staatsbibliothek-berlin.de/HSP00064F7400000000" TargetMode="External"/><Relationship Id="rId130" Type="http://schemas.openxmlformats.org/officeDocument/2006/relationships/hyperlink" Target="https://resolver.staatsbibliothek-berlin.de/HSP00053A0100000000" TargetMode="External"/><Relationship Id="rId251" Type="http://schemas.openxmlformats.org/officeDocument/2006/relationships/hyperlink" Target="https://resolver.staatsbibliothek-berlin.de/HSP00064F7300000000" TargetMode="External"/><Relationship Id="rId250" Type="http://schemas.openxmlformats.org/officeDocument/2006/relationships/hyperlink" Target="https://resolver.staatsbibliothek-berlin.de/HSP00064F7200000000" TargetMode="External"/><Relationship Id="rId136" Type="http://schemas.openxmlformats.org/officeDocument/2006/relationships/hyperlink" Target="https://resolver.staatsbibliothek-berlin.de/HSP00053A0700000000" TargetMode="External"/><Relationship Id="rId257" Type="http://schemas.openxmlformats.org/officeDocument/2006/relationships/hyperlink" Target="https://resolver.staatsbibliothek-berlin.de/HSP00064F7A00000000" TargetMode="External"/><Relationship Id="rId135" Type="http://schemas.openxmlformats.org/officeDocument/2006/relationships/hyperlink" Target="https://resolver.staatsbibliothek-berlin.de/HSP00053A0600000000" TargetMode="External"/><Relationship Id="rId256" Type="http://schemas.openxmlformats.org/officeDocument/2006/relationships/hyperlink" Target="https://resolver.staatsbibliothek-berlin.de/HSP00064F7900000000" TargetMode="External"/><Relationship Id="rId134" Type="http://schemas.openxmlformats.org/officeDocument/2006/relationships/hyperlink" Target="https://resolver.staatsbibliothek-berlin.de/HSP00053A0500000000" TargetMode="External"/><Relationship Id="rId255" Type="http://schemas.openxmlformats.org/officeDocument/2006/relationships/hyperlink" Target="https://resolver.staatsbibliothek-berlin.de/HSP00064F7700000000" TargetMode="External"/><Relationship Id="rId133" Type="http://schemas.openxmlformats.org/officeDocument/2006/relationships/hyperlink" Target="https://resolver.staatsbibliothek-berlin.de/HSP00053A0400000000" TargetMode="External"/><Relationship Id="rId254" Type="http://schemas.openxmlformats.org/officeDocument/2006/relationships/hyperlink" Target="https://resolver.staatsbibliothek-berlin.de/HSP00064F7600000000" TargetMode="External"/><Relationship Id="rId62" Type="http://schemas.openxmlformats.org/officeDocument/2006/relationships/hyperlink" Target="https://resolver.staatsbibliothek-berlin.de/HSP000539BD00000000" TargetMode="External"/><Relationship Id="rId61" Type="http://schemas.openxmlformats.org/officeDocument/2006/relationships/hyperlink" Target="https://resolver.staatsbibliothek-berlin.de/HSP000539BC00000000" TargetMode="External"/><Relationship Id="rId64" Type="http://schemas.openxmlformats.org/officeDocument/2006/relationships/hyperlink" Target="https://resolver.staatsbibliothek-berlin.de/HSP000539BF00000000" TargetMode="External"/><Relationship Id="rId63" Type="http://schemas.openxmlformats.org/officeDocument/2006/relationships/hyperlink" Target="https://resolver.staatsbibliothek-berlin.de/HSP000539BE00000000" TargetMode="External"/><Relationship Id="rId66" Type="http://schemas.openxmlformats.org/officeDocument/2006/relationships/hyperlink" Target="https://resolver.staatsbibliothek-berlin.de/HSP000539C100000000" TargetMode="External"/><Relationship Id="rId172" Type="http://schemas.openxmlformats.org/officeDocument/2006/relationships/hyperlink" Target="https://resolver.staatsbibliothek-berlin.de/HSP00053A2B00000000" TargetMode="External"/><Relationship Id="rId65" Type="http://schemas.openxmlformats.org/officeDocument/2006/relationships/hyperlink" Target="https://resolver.staatsbibliothek-berlin.de/HSP000539C000000000" TargetMode="External"/><Relationship Id="rId171" Type="http://schemas.openxmlformats.org/officeDocument/2006/relationships/hyperlink" Target="https://resolver.staatsbibliothek-berlin.de/HSP00053A2A00000000" TargetMode="External"/><Relationship Id="rId68" Type="http://schemas.openxmlformats.org/officeDocument/2006/relationships/hyperlink" Target="https://resolver.staatsbibliothek-berlin.de/HSP000539C300000000" TargetMode="External"/><Relationship Id="rId170" Type="http://schemas.openxmlformats.org/officeDocument/2006/relationships/hyperlink" Target="https://resolver.staatsbibliothek-berlin.de/HSP00053A2900000000" TargetMode="External"/><Relationship Id="rId67" Type="http://schemas.openxmlformats.org/officeDocument/2006/relationships/hyperlink" Target="https://resolver.staatsbibliothek-berlin.de/HSP000539C200000000" TargetMode="External"/><Relationship Id="rId60" Type="http://schemas.openxmlformats.org/officeDocument/2006/relationships/hyperlink" Target="https://resolver.staatsbibliothek-berlin.de/HSP000539BB00000000" TargetMode="External"/><Relationship Id="rId165" Type="http://schemas.openxmlformats.org/officeDocument/2006/relationships/hyperlink" Target="https://resolver.staatsbibliothek-berlin.de/HSP00053A2400000000" TargetMode="External"/><Relationship Id="rId286" Type="http://schemas.openxmlformats.org/officeDocument/2006/relationships/hyperlink" Target="https://resolver.staatsbibliothek-berlin.de/HSP0006DF6000000000" TargetMode="External"/><Relationship Id="rId69" Type="http://schemas.openxmlformats.org/officeDocument/2006/relationships/hyperlink" Target="https://resolver.staatsbibliothek-berlin.de/HSP000539C400000000" TargetMode="External"/><Relationship Id="rId164" Type="http://schemas.openxmlformats.org/officeDocument/2006/relationships/hyperlink" Target="https://resolver.staatsbibliothek-berlin.de/HSP00053A2300000000" TargetMode="External"/><Relationship Id="rId285" Type="http://schemas.openxmlformats.org/officeDocument/2006/relationships/hyperlink" Target="https://resolver.staatsbibliothek-berlin.de/HSP0006DF5F00000000" TargetMode="External"/><Relationship Id="rId163" Type="http://schemas.openxmlformats.org/officeDocument/2006/relationships/hyperlink" Target="https://resolver.staatsbibliothek-berlin.de/HSP00053A2200000000" TargetMode="External"/><Relationship Id="rId284" Type="http://schemas.openxmlformats.org/officeDocument/2006/relationships/hyperlink" Target="https://resolver.staatsbibliothek-berlin.de/HSP0006DF5E00000000" TargetMode="External"/><Relationship Id="rId162" Type="http://schemas.openxmlformats.org/officeDocument/2006/relationships/hyperlink" Target="https://resolver.staatsbibliothek-berlin.de/HSP00053A2100000000" TargetMode="External"/><Relationship Id="rId283" Type="http://schemas.openxmlformats.org/officeDocument/2006/relationships/hyperlink" Target="https://resolver.staatsbibliothek-berlin.de/HSP00067E3700000000" TargetMode="External"/><Relationship Id="rId169" Type="http://schemas.openxmlformats.org/officeDocument/2006/relationships/hyperlink" Target="https://resolver.staatsbibliothek-berlin.de/HSP00053A2800000000" TargetMode="External"/><Relationship Id="rId168" Type="http://schemas.openxmlformats.org/officeDocument/2006/relationships/hyperlink" Target="https://resolver.staatsbibliothek-berlin.de/HSP00053A2700000000" TargetMode="External"/><Relationship Id="rId167" Type="http://schemas.openxmlformats.org/officeDocument/2006/relationships/hyperlink" Target="https://resolver.staatsbibliothek-berlin.de/HSP00053A2600000000" TargetMode="External"/><Relationship Id="rId288" Type="http://schemas.openxmlformats.org/officeDocument/2006/relationships/drawing" Target="../drawings/drawing2.xml"/><Relationship Id="rId166" Type="http://schemas.openxmlformats.org/officeDocument/2006/relationships/hyperlink" Target="https://resolver.staatsbibliothek-berlin.de/HSP00053A2500000000" TargetMode="External"/><Relationship Id="rId287" Type="http://schemas.openxmlformats.org/officeDocument/2006/relationships/hyperlink" Target="https://resolver.staatsbibliothek-berlin.de/HSP0006DF6100000000" TargetMode="External"/><Relationship Id="rId51" Type="http://schemas.openxmlformats.org/officeDocument/2006/relationships/hyperlink" Target="https://resolver.staatsbibliothek-berlin.de/HSP000539B200000000" TargetMode="External"/><Relationship Id="rId50" Type="http://schemas.openxmlformats.org/officeDocument/2006/relationships/hyperlink" Target="https://resolver.staatsbibliothek-berlin.de/HSP000539B100000000" TargetMode="External"/><Relationship Id="rId53" Type="http://schemas.openxmlformats.org/officeDocument/2006/relationships/hyperlink" Target="https://resolver.staatsbibliothek-berlin.de/HSP000539B400000000" TargetMode="External"/><Relationship Id="rId52" Type="http://schemas.openxmlformats.org/officeDocument/2006/relationships/hyperlink" Target="https://resolver.staatsbibliothek-berlin.de/HSP000539B300000000" TargetMode="External"/><Relationship Id="rId55" Type="http://schemas.openxmlformats.org/officeDocument/2006/relationships/hyperlink" Target="https://resolver.staatsbibliothek-berlin.de/HSP000539B600000000" TargetMode="External"/><Relationship Id="rId161" Type="http://schemas.openxmlformats.org/officeDocument/2006/relationships/hyperlink" Target="https://resolver.staatsbibliothek-berlin.de/HSP00053A2000000000" TargetMode="External"/><Relationship Id="rId282" Type="http://schemas.openxmlformats.org/officeDocument/2006/relationships/hyperlink" Target="https://resolver.staatsbibliothek-berlin.de/HSP00067E3600000000" TargetMode="External"/><Relationship Id="rId54" Type="http://schemas.openxmlformats.org/officeDocument/2006/relationships/hyperlink" Target="https://resolver.staatsbibliothek-berlin.de/HSP000539B500000000" TargetMode="External"/><Relationship Id="rId160" Type="http://schemas.openxmlformats.org/officeDocument/2006/relationships/hyperlink" Target="https://resolver.staatsbibliothek-berlin.de/HSP00053A1F00000000" TargetMode="External"/><Relationship Id="rId281" Type="http://schemas.openxmlformats.org/officeDocument/2006/relationships/hyperlink" Target="https://resolver.staatsbibliothek-berlin.de/HSP00067E3500000000" TargetMode="External"/><Relationship Id="rId57" Type="http://schemas.openxmlformats.org/officeDocument/2006/relationships/hyperlink" Target="https://resolver.staatsbibliothek-berlin.de/HSP000539B800000000" TargetMode="External"/><Relationship Id="rId280" Type="http://schemas.openxmlformats.org/officeDocument/2006/relationships/hyperlink" Target="https://resolver.staatsbibliothek-berlin.de/HSP00067E3400000000" TargetMode="External"/><Relationship Id="rId56" Type="http://schemas.openxmlformats.org/officeDocument/2006/relationships/hyperlink" Target="https://resolver.staatsbibliothek-berlin.de/HSP000539B700000000" TargetMode="External"/><Relationship Id="rId159" Type="http://schemas.openxmlformats.org/officeDocument/2006/relationships/hyperlink" Target="https://resolver.staatsbibliothek-berlin.de/HSP00053A1E00000000" TargetMode="External"/><Relationship Id="rId59" Type="http://schemas.openxmlformats.org/officeDocument/2006/relationships/hyperlink" Target="https://resolver.staatsbibliothek-berlin.de/HSP000539BA00000000" TargetMode="External"/><Relationship Id="rId154" Type="http://schemas.openxmlformats.org/officeDocument/2006/relationships/hyperlink" Target="https://resolver.staatsbibliothek-berlin.de/HSP00053A1900000000" TargetMode="External"/><Relationship Id="rId275" Type="http://schemas.openxmlformats.org/officeDocument/2006/relationships/hyperlink" Target="https://resolver.staatsbibliothek-berlin.de/HSP00064F8C00000000" TargetMode="External"/><Relationship Id="rId58" Type="http://schemas.openxmlformats.org/officeDocument/2006/relationships/hyperlink" Target="https://resolver.staatsbibliothek-berlin.de/HSP000539B900000000" TargetMode="External"/><Relationship Id="rId153" Type="http://schemas.openxmlformats.org/officeDocument/2006/relationships/hyperlink" Target="https://resolver.staatsbibliothek-berlin.de/HSP00053A1800000000" TargetMode="External"/><Relationship Id="rId274" Type="http://schemas.openxmlformats.org/officeDocument/2006/relationships/hyperlink" Target="https://resolver.staatsbibliothek-berlin.de/HSP00064F8B00000000" TargetMode="External"/><Relationship Id="rId152" Type="http://schemas.openxmlformats.org/officeDocument/2006/relationships/hyperlink" Target="https://resolver.staatsbibliothek-berlin.de/HSP00053A1700000000" TargetMode="External"/><Relationship Id="rId273" Type="http://schemas.openxmlformats.org/officeDocument/2006/relationships/hyperlink" Target="https://resolver.staatsbibliothek-berlin.de/HSP00064F8A00000000" TargetMode="External"/><Relationship Id="rId151" Type="http://schemas.openxmlformats.org/officeDocument/2006/relationships/hyperlink" Target="https://resolver.staatsbibliothek-berlin.de/HSP00053A1600000000" TargetMode="External"/><Relationship Id="rId272" Type="http://schemas.openxmlformats.org/officeDocument/2006/relationships/hyperlink" Target="https://resolver.staatsbibliothek-berlin.de/HSP00064F8900000000" TargetMode="External"/><Relationship Id="rId158" Type="http://schemas.openxmlformats.org/officeDocument/2006/relationships/hyperlink" Target="https://resolver.staatsbibliothek-berlin.de/HSP00053A1D00000000" TargetMode="External"/><Relationship Id="rId279" Type="http://schemas.openxmlformats.org/officeDocument/2006/relationships/hyperlink" Target="https://resolver.staatsbibliothek-berlin.de/HSP0006524900000000" TargetMode="External"/><Relationship Id="rId157" Type="http://schemas.openxmlformats.org/officeDocument/2006/relationships/hyperlink" Target="https://resolver.staatsbibliothek-berlin.de/HSP00053A1C00000000" TargetMode="External"/><Relationship Id="rId278" Type="http://schemas.openxmlformats.org/officeDocument/2006/relationships/hyperlink" Target="https://resolver.staatsbibliothek-berlin.de/HSP00064F8F00000000" TargetMode="External"/><Relationship Id="rId156" Type="http://schemas.openxmlformats.org/officeDocument/2006/relationships/hyperlink" Target="https://resolver.staatsbibliothek-berlin.de/HSP00053A1B00000000" TargetMode="External"/><Relationship Id="rId277" Type="http://schemas.openxmlformats.org/officeDocument/2006/relationships/hyperlink" Target="https://resolver.staatsbibliothek-berlin.de/HSP00064F8E00000000" TargetMode="External"/><Relationship Id="rId155" Type="http://schemas.openxmlformats.org/officeDocument/2006/relationships/hyperlink" Target="https://resolver.staatsbibliothek-berlin.de/HSP00053A1A00000000" TargetMode="External"/><Relationship Id="rId276" Type="http://schemas.openxmlformats.org/officeDocument/2006/relationships/hyperlink" Target="https://resolver.staatsbibliothek-berlin.de/HSP00064F8D00000000" TargetMode="External"/><Relationship Id="rId107" Type="http://schemas.openxmlformats.org/officeDocument/2006/relationships/hyperlink" Target="https://resolver.staatsbibliothek-berlin.de/HSP000539EA00000000" TargetMode="External"/><Relationship Id="rId228" Type="http://schemas.openxmlformats.org/officeDocument/2006/relationships/hyperlink" Target="https://resolver.staatsbibliothek-berlin.de/HSP00064F5C00000000" TargetMode="External"/><Relationship Id="rId106" Type="http://schemas.openxmlformats.org/officeDocument/2006/relationships/hyperlink" Target="https://resolver.staatsbibliothek-berlin.de/HSP000539E900000000" TargetMode="External"/><Relationship Id="rId227" Type="http://schemas.openxmlformats.org/officeDocument/2006/relationships/hyperlink" Target="https://resolver.staatsbibliothek-berlin.de/HSP00064F5B00000000" TargetMode="External"/><Relationship Id="rId105" Type="http://schemas.openxmlformats.org/officeDocument/2006/relationships/hyperlink" Target="https://resolver.staatsbibliothek-berlin.de/HSP000539E800000000" TargetMode="External"/><Relationship Id="rId226" Type="http://schemas.openxmlformats.org/officeDocument/2006/relationships/hyperlink" Target="https://resolver.staatsbibliothek-berlin.de/HSP00064F5A00000000" TargetMode="External"/><Relationship Id="rId104" Type="http://schemas.openxmlformats.org/officeDocument/2006/relationships/hyperlink" Target="https://resolver.staatsbibliothek-berlin.de/HSP000539E700000000" TargetMode="External"/><Relationship Id="rId225" Type="http://schemas.openxmlformats.org/officeDocument/2006/relationships/hyperlink" Target="https://resolver.staatsbibliothek-berlin.de/HSP00064F5900000000" TargetMode="External"/><Relationship Id="rId109" Type="http://schemas.openxmlformats.org/officeDocument/2006/relationships/hyperlink" Target="https://resolver.staatsbibliothek-berlin.de/HSP000539EC00000000" TargetMode="External"/><Relationship Id="rId108" Type="http://schemas.openxmlformats.org/officeDocument/2006/relationships/hyperlink" Target="https://resolver.staatsbibliothek-berlin.de/HSP000539EB00000000" TargetMode="External"/><Relationship Id="rId229" Type="http://schemas.openxmlformats.org/officeDocument/2006/relationships/hyperlink" Target="https://resolver.staatsbibliothek-berlin.de/HSP00064F5D00000000" TargetMode="External"/><Relationship Id="rId220" Type="http://schemas.openxmlformats.org/officeDocument/2006/relationships/hyperlink" Target="https://resolver.staatsbibliothek-berlin.de/HSP00064F5300000000" TargetMode="External"/><Relationship Id="rId103" Type="http://schemas.openxmlformats.org/officeDocument/2006/relationships/hyperlink" Target="https://resolver.staatsbibliothek-berlin.de/HSP000539E600000000" TargetMode="External"/><Relationship Id="rId224" Type="http://schemas.openxmlformats.org/officeDocument/2006/relationships/hyperlink" Target="https://resolver.staatsbibliothek-berlin.de/HSP00064F5800000000" TargetMode="External"/><Relationship Id="rId102" Type="http://schemas.openxmlformats.org/officeDocument/2006/relationships/hyperlink" Target="https://resolver.staatsbibliothek-berlin.de/HSP000539E500000000" TargetMode="External"/><Relationship Id="rId223" Type="http://schemas.openxmlformats.org/officeDocument/2006/relationships/hyperlink" Target="https://resolver.staatsbibliothek-berlin.de/HSP00064F5700000000" TargetMode="External"/><Relationship Id="rId101" Type="http://schemas.openxmlformats.org/officeDocument/2006/relationships/hyperlink" Target="https://resolver.staatsbibliothek-berlin.de/HSP000539E400000000" TargetMode="External"/><Relationship Id="rId222" Type="http://schemas.openxmlformats.org/officeDocument/2006/relationships/hyperlink" Target="https://resolver.staatsbibliothek-berlin.de/HSP00064F5500000000" TargetMode="External"/><Relationship Id="rId100" Type="http://schemas.openxmlformats.org/officeDocument/2006/relationships/hyperlink" Target="https://resolver.staatsbibliothek-berlin.de/HSP000539E300000000" TargetMode="External"/><Relationship Id="rId221" Type="http://schemas.openxmlformats.org/officeDocument/2006/relationships/hyperlink" Target="https://resolver.staatsbibliothek-berlin.de/HSP00064F5400000000" TargetMode="External"/><Relationship Id="rId217" Type="http://schemas.openxmlformats.org/officeDocument/2006/relationships/hyperlink" Target="https://resolver.staatsbibliothek-berlin.de/HSP00064F5000000000" TargetMode="External"/><Relationship Id="rId216" Type="http://schemas.openxmlformats.org/officeDocument/2006/relationships/hyperlink" Target="https://resolver.staatsbibliothek-berlin.de/HSP00064F4F00000000" TargetMode="External"/><Relationship Id="rId215" Type="http://schemas.openxmlformats.org/officeDocument/2006/relationships/hyperlink" Target="https://resolver.staatsbibliothek-berlin.de/HSP00064F4E00000000" TargetMode="External"/><Relationship Id="rId214" Type="http://schemas.openxmlformats.org/officeDocument/2006/relationships/hyperlink" Target="https://resolver.staatsbibliothek-berlin.de/HSP00053A5500000000" TargetMode="External"/><Relationship Id="rId219" Type="http://schemas.openxmlformats.org/officeDocument/2006/relationships/hyperlink" Target="https://resolver.staatsbibliothek-berlin.de/HSP00064F5200000000" TargetMode="External"/><Relationship Id="rId218" Type="http://schemas.openxmlformats.org/officeDocument/2006/relationships/hyperlink" Target="https://resolver.staatsbibliothek-berlin.de/HSP00064F5100000000" TargetMode="External"/><Relationship Id="rId213" Type="http://schemas.openxmlformats.org/officeDocument/2006/relationships/hyperlink" Target="https://resolver.staatsbibliothek-berlin.de/HSP00053A5400000000" TargetMode="External"/><Relationship Id="rId212" Type="http://schemas.openxmlformats.org/officeDocument/2006/relationships/hyperlink" Target="https://resolver.staatsbibliothek-berlin.de/HSP00053A5300000000" TargetMode="External"/><Relationship Id="rId211" Type="http://schemas.openxmlformats.org/officeDocument/2006/relationships/hyperlink" Target="https://resolver.staatsbibliothek-berlin.de/HSP00053A5200000000" TargetMode="External"/><Relationship Id="rId210" Type="http://schemas.openxmlformats.org/officeDocument/2006/relationships/hyperlink" Target="https://resolver.staatsbibliothek-berlin.de/HSP00053A5100000000" TargetMode="External"/><Relationship Id="rId129" Type="http://schemas.openxmlformats.org/officeDocument/2006/relationships/hyperlink" Target="https://resolver.staatsbibliothek-berlin.de/HSP00053A0000000000" TargetMode="External"/><Relationship Id="rId128" Type="http://schemas.openxmlformats.org/officeDocument/2006/relationships/hyperlink" Target="https://resolver.staatsbibliothek-berlin.de/HSP000539FF00000000" TargetMode="External"/><Relationship Id="rId249" Type="http://schemas.openxmlformats.org/officeDocument/2006/relationships/hyperlink" Target="https://resolver.staatsbibliothek-berlin.de/HSP00064F7100000000" TargetMode="External"/><Relationship Id="rId127" Type="http://schemas.openxmlformats.org/officeDocument/2006/relationships/hyperlink" Target="https://resolver.staatsbibliothek-berlin.de/HSP000539FE00000000" TargetMode="External"/><Relationship Id="rId248" Type="http://schemas.openxmlformats.org/officeDocument/2006/relationships/hyperlink" Target="https://resolver.staatsbibliothek-berlin.de/HSP00064F7000000000" TargetMode="External"/><Relationship Id="rId126" Type="http://schemas.openxmlformats.org/officeDocument/2006/relationships/hyperlink" Target="https://resolver.staatsbibliothek-berlin.de/HSP000539FD00000000" TargetMode="External"/><Relationship Id="rId247" Type="http://schemas.openxmlformats.org/officeDocument/2006/relationships/hyperlink" Target="https://resolver.staatsbibliothek-berlin.de/HSP00064F6F00000000" TargetMode="External"/><Relationship Id="rId121" Type="http://schemas.openxmlformats.org/officeDocument/2006/relationships/hyperlink" Target="https://resolver.staatsbibliothek-berlin.de/HSP000539F800000000" TargetMode="External"/><Relationship Id="rId242" Type="http://schemas.openxmlformats.org/officeDocument/2006/relationships/hyperlink" Target="https://resolver.staatsbibliothek-berlin.de/HSP00064F6A00000000" TargetMode="External"/><Relationship Id="rId120" Type="http://schemas.openxmlformats.org/officeDocument/2006/relationships/hyperlink" Target="https://resolver.staatsbibliothek-berlin.de/HSP000539F700000000" TargetMode="External"/><Relationship Id="rId241" Type="http://schemas.openxmlformats.org/officeDocument/2006/relationships/hyperlink" Target="https://resolver.staatsbibliothek-berlin.de/HSP00064F6900000000" TargetMode="External"/><Relationship Id="rId240" Type="http://schemas.openxmlformats.org/officeDocument/2006/relationships/hyperlink" Target="https://resolver.staatsbibliothek-berlin.de/HSP00064F6800000000" TargetMode="External"/><Relationship Id="rId125" Type="http://schemas.openxmlformats.org/officeDocument/2006/relationships/hyperlink" Target="https://resolver.staatsbibliothek-berlin.de/HSP000539FC00000000" TargetMode="External"/><Relationship Id="rId246" Type="http://schemas.openxmlformats.org/officeDocument/2006/relationships/hyperlink" Target="https://resolver.staatsbibliothek-berlin.de/HSP00064F6E00000000" TargetMode="External"/><Relationship Id="rId124" Type="http://schemas.openxmlformats.org/officeDocument/2006/relationships/hyperlink" Target="https://resolver.staatsbibliothek-berlin.de/HSP000539FB00000000" TargetMode="External"/><Relationship Id="rId245" Type="http://schemas.openxmlformats.org/officeDocument/2006/relationships/hyperlink" Target="https://resolver.staatsbibliothek-berlin.de/HSP00064F6D00000000" TargetMode="External"/><Relationship Id="rId123" Type="http://schemas.openxmlformats.org/officeDocument/2006/relationships/hyperlink" Target="https://resolver.staatsbibliothek-berlin.de/HSP000539FA00000000" TargetMode="External"/><Relationship Id="rId244" Type="http://schemas.openxmlformats.org/officeDocument/2006/relationships/hyperlink" Target="https://resolver.staatsbibliothek-berlin.de/HSP00064F6C00000000" TargetMode="External"/><Relationship Id="rId122" Type="http://schemas.openxmlformats.org/officeDocument/2006/relationships/hyperlink" Target="https://resolver.staatsbibliothek-berlin.de/HSP000539F900000000" TargetMode="External"/><Relationship Id="rId243" Type="http://schemas.openxmlformats.org/officeDocument/2006/relationships/hyperlink" Target="https://resolver.staatsbibliothek-berlin.de/HSP00064F6B00000000" TargetMode="External"/><Relationship Id="rId95" Type="http://schemas.openxmlformats.org/officeDocument/2006/relationships/hyperlink" Target="https://resolver.staatsbibliothek-berlin.de/HSP000539DE00000000" TargetMode="External"/><Relationship Id="rId94" Type="http://schemas.openxmlformats.org/officeDocument/2006/relationships/hyperlink" Target="https://resolver.staatsbibliothek-berlin.de/HSP000539DD00000000" TargetMode="External"/><Relationship Id="rId97" Type="http://schemas.openxmlformats.org/officeDocument/2006/relationships/hyperlink" Target="https://resolver.staatsbibliothek-berlin.de/HSP000539E000000000" TargetMode="External"/><Relationship Id="rId96" Type="http://schemas.openxmlformats.org/officeDocument/2006/relationships/hyperlink" Target="https://resolver.staatsbibliothek-berlin.de/HSP000539DF00000000" TargetMode="External"/><Relationship Id="rId99" Type="http://schemas.openxmlformats.org/officeDocument/2006/relationships/hyperlink" Target="https://resolver.staatsbibliothek-berlin.de/HSP000539E200000000" TargetMode="External"/><Relationship Id="rId98" Type="http://schemas.openxmlformats.org/officeDocument/2006/relationships/hyperlink" Target="https://resolver.staatsbibliothek-berlin.de/HSP000539E100000000" TargetMode="External"/><Relationship Id="rId91" Type="http://schemas.openxmlformats.org/officeDocument/2006/relationships/hyperlink" Target="https://resolver.staatsbibliothek-berlin.de/HSP000539DA00000000" TargetMode="External"/><Relationship Id="rId90" Type="http://schemas.openxmlformats.org/officeDocument/2006/relationships/hyperlink" Target="https://resolver.staatsbibliothek-berlin.de/HSP000539D900000000" TargetMode="External"/><Relationship Id="rId93" Type="http://schemas.openxmlformats.org/officeDocument/2006/relationships/hyperlink" Target="https://resolver.staatsbibliothek-berlin.de/HSP000539DC00000000" TargetMode="External"/><Relationship Id="rId92" Type="http://schemas.openxmlformats.org/officeDocument/2006/relationships/hyperlink" Target="https://resolver.staatsbibliothek-berlin.de/HSP000539DB00000000" TargetMode="External"/><Relationship Id="rId118" Type="http://schemas.openxmlformats.org/officeDocument/2006/relationships/hyperlink" Target="https://resolver.staatsbibliothek-berlin.de/HSP000539F500000000" TargetMode="External"/><Relationship Id="rId239" Type="http://schemas.openxmlformats.org/officeDocument/2006/relationships/hyperlink" Target="https://resolver.staatsbibliothek-berlin.de/HSP00064F6700000000" TargetMode="External"/><Relationship Id="rId117" Type="http://schemas.openxmlformats.org/officeDocument/2006/relationships/hyperlink" Target="https://resolver.staatsbibliothek-berlin.de/HSP000539F400000000" TargetMode="External"/><Relationship Id="rId238" Type="http://schemas.openxmlformats.org/officeDocument/2006/relationships/hyperlink" Target="https://resolver.staatsbibliothek-berlin.de/HSP00064F6600000000" TargetMode="External"/><Relationship Id="rId116" Type="http://schemas.openxmlformats.org/officeDocument/2006/relationships/hyperlink" Target="https://resolver.staatsbibliothek-berlin.de/HSP000539F300000000" TargetMode="External"/><Relationship Id="rId237" Type="http://schemas.openxmlformats.org/officeDocument/2006/relationships/hyperlink" Target="https://resolver.staatsbibliothek-berlin.de/HSP00064F6500000000" TargetMode="External"/><Relationship Id="rId115" Type="http://schemas.openxmlformats.org/officeDocument/2006/relationships/hyperlink" Target="https://resolver.staatsbibliothek-berlin.de/HSP000539F200000000" TargetMode="External"/><Relationship Id="rId236" Type="http://schemas.openxmlformats.org/officeDocument/2006/relationships/hyperlink" Target="https://resolver.staatsbibliothek-berlin.de/HSP00064F6400000000" TargetMode="External"/><Relationship Id="rId119" Type="http://schemas.openxmlformats.org/officeDocument/2006/relationships/hyperlink" Target="https://resolver.staatsbibliothek-berlin.de/HSP000539F600000000" TargetMode="External"/><Relationship Id="rId110" Type="http://schemas.openxmlformats.org/officeDocument/2006/relationships/hyperlink" Target="https://resolver.staatsbibliothek-berlin.de/HSP000539ED00000000" TargetMode="External"/><Relationship Id="rId231" Type="http://schemas.openxmlformats.org/officeDocument/2006/relationships/hyperlink" Target="https://resolver.staatsbibliothek-berlin.de/HSP00064F5F00000000" TargetMode="External"/><Relationship Id="rId230" Type="http://schemas.openxmlformats.org/officeDocument/2006/relationships/hyperlink" Target="https://resolver.staatsbibliothek-berlin.de/HSP00064F5E00000000" TargetMode="External"/><Relationship Id="rId114" Type="http://schemas.openxmlformats.org/officeDocument/2006/relationships/hyperlink" Target="https://resolver.staatsbibliothek-berlin.de/HSP000539F100000000" TargetMode="External"/><Relationship Id="rId235" Type="http://schemas.openxmlformats.org/officeDocument/2006/relationships/hyperlink" Target="https://resolver.staatsbibliothek-berlin.de/HSP00064F6300000000" TargetMode="External"/><Relationship Id="rId113" Type="http://schemas.openxmlformats.org/officeDocument/2006/relationships/hyperlink" Target="https://resolver.staatsbibliothek-berlin.de/HSP000539F000000000" TargetMode="External"/><Relationship Id="rId234" Type="http://schemas.openxmlformats.org/officeDocument/2006/relationships/hyperlink" Target="https://resolver.staatsbibliothek-berlin.de/HSP00064F6200000000" TargetMode="External"/><Relationship Id="rId112" Type="http://schemas.openxmlformats.org/officeDocument/2006/relationships/hyperlink" Target="https://resolver.staatsbibliothek-berlin.de/HSP000539EF00000000" TargetMode="External"/><Relationship Id="rId233" Type="http://schemas.openxmlformats.org/officeDocument/2006/relationships/hyperlink" Target="https://resolver.staatsbibliothek-berlin.de/HSP00064F6100000000" TargetMode="External"/><Relationship Id="rId111" Type="http://schemas.openxmlformats.org/officeDocument/2006/relationships/hyperlink" Target="https://resolver.staatsbibliothek-berlin.de/HSP000539EE00000000" TargetMode="External"/><Relationship Id="rId232" Type="http://schemas.openxmlformats.org/officeDocument/2006/relationships/hyperlink" Target="https://resolver.staatsbibliothek-berlin.de/HSP00064F6000000000" TargetMode="External"/><Relationship Id="rId206" Type="http://schemas.openxmlformats.org/officeDocument/2006/relationships/hyperlink" Target="https://resolver.staatsbibliothek-berlin.de/HSP00053A4D00000000" TargetMode="External"/><Relationship Id="rId205" Type="http://schemas.openxmlformats.org/officeDocument/2006/relationships/hyperlink" Target="https://resolver.staatsbibliothek-berlin.de/HSP00053A4C00000000" TargetMode="External"/><Relationship Id="rId204" Type="http://schemas.openxmlformats.org/officeDocument/2006/relationships/hyperlink" Target="https://resolver.staatsbibliothek-berlin.de/HSP00053A4B00000000" TargetMode="External"/><Relationship Id="rId203" Type="http://schemas.openxmlformats.org/officeDocument/2006/relationships/hyperlink" Target="https://resolver.staatsbibliothek-berlin.de/HSP00053A4A00000000" TargetMode="External"/><Relationship Id="rId209" Type="http://schemas.openxmlformats.org/officeDocument/2006/relationships/hyperlink" Target="https://resolver.staatsbibliothek-berlin.de/HSP00053A5000000000" TargetMode="External"/><Relationship Id="rId208" Type="http://schemas.openxmlformats.org/officeDocument/2006/relationships/hyperlink" Target="https://resolver.staatsbibliothek-berlin.de/HSP00053A4F00000000" TargetMode="External"/><Relationship Id="rId207" Type="http://schemas.openxmlformats.org/officeDocument/2006/relationships/hyperlink" Target="https://resolver.staatsbibliothek-berlin.de/HSP00053A4E00000000" TargetMode="External"/><Relationship Id="rId202" Type="http://schemas.openxmlformats.org/officeDocument/2006/relationships/hyperlink" Target="https://resolver.staatsbibliothek-berlin.de/HSP00053A4900000000" TargetMode="External"/><Relationship Id="rId201" Type="http://schemas.openxmlformats.org/officeDocument/2006/relationships/hyperlink" Target="https://resolver.staatsbibliothek-berlin.de/HSP00053A4800000000" TargetMode="External"/><Relationship Id="rId200" Type="http://schemas.openxmlformats.org/officeDocument/2006/relationships/hyperlink" Target="https://resolver.staatsbibliothek-berlin.de/HSP00053A470000000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solver.staatsbibliothek-berlin.de/HSP00062F6F00000000" TargetMode="External"/><Relationship Id="rId190" Type="http://schemas.openxmlformats.org/officeDocument/2006/relationships/hyperlink" Target="https://resolver.staatsbibliothek-berlin.de/HSP0006300A00000000" TargetMode="External"/><Relationship Id="rId42" Type="http://schemas.openxmlformats.org/officeDocument/2006/relationships/hyperlink" Target="https://resolver.staatsbibliothek-berlin.de/HSP00062F7500000000" TargetMode="External"/><Relationship Id="rId41" Type="http://schemas.openxmlformats.org/officeDocument/2006/relationships/hyperlink" Target="https://resolver.staatsbibliothek-berlin.de/HSP00062F7400000000" TargetMode="External"/><Relationship Id="rId44" Type="http://schemas.openxmlformats.org/officeDocument/2006/relationships/hyperlink" Target="https://resolver.staatsbibliothek-berlin.de/HSP00062F7900000000" TargetMode="External"/><Relationship Id="rId194" Type="http://schemas.openxmlformats.org/officeDocument/2006/relationships/hyperlink" Target="https://resolver.staatsbibliothek-berlin.de/HSP0006300E00000000" TargetMode="External"/><Relationship Id="rId43" Type="http://schemas.openxmlformats.org/officeDocument/2006/relationships/hyperlink" Target="https://resolver.staatsbibliothek-berlin.de/HSP00062F7600000000" TargetMode="External"/><Relationship Id="rId193" Type="http://schemas.openxmlformats.org/officeDocument/2006/relationships/hyperlink" Target="https://resolver.staatsbibliothek-berlin.de/HSP0006300D00000000" TargetMode="External"/><Relationship Id="rId46" Type="http://schemas.openxmlformats.org/officeDocument/2006/relationships/hyperlink" Target="https://resolver.staatsbibliothek-berlin.de/HSP00062F7700000000" TargetMode="External"/><Relationship Id="rId192" Type="http://schemas.openxmlformats.org/officeDocument/2006/relationships/hyperlink" Target="https://resolver.staatsbibliothek-berlin.de/HSP0006300C00000000" TargetMode="External"/><Relationship Id="rId45" Type="http://schemas.openxmlformats.org/officeDocument/2006/relationships/hyperlink" Target="https://resolver.staatsbibliothek-berlin.de/HSP00062F7A00000000" TargetMode="External"/><Relationship Id="rId191" Type="http://schemas.openxmlformats.org/officeDocument/2006/relationships/hyperlink" Target="https://resolver.staatsbibliothek-berlin.de/HSP0006300B00000000" TargetMode="External"/><Relationship Id="rId48" Type="http://schemas.openxmlformats.org/officeDocument/2006/relationships/hyperlink" Target="https://resolver.staatsbibliothek-berlin.de/HSP00062F7B00000000" TargetMode="External"/><Relationship Id="rId187" Type="http://schemas.openxmlformats.org/officeDocument/2006/relationships/hyperlink" Target="https://resolver.staatsbibliothek-berlin.de/HSP0006300700000000" TargetMode="External"/><Relationship Id="rId47" Type="http://schemas.openxmlformats.org/officeDocument/2006/relationships/hyperlink" Target="https://resolver.staatsbibliothek-berlin.de/HSP00062F7D00000000" TargetMode="External"/><Relationship Id="rId186" Type="http://schemas.openxmlformats.org/officeDocument/2006/relationships/hyperlink" Target="https://resolver.staatsbibliothek-berlin.de/HSP0006300600000000" TargetMode="External"/><Relationship Id="rId185" Type="http://schemas.openxmlformats.org/officeDocument/2006/relationships/hyperlink" Target="https://resolver.staatsbibliothek-berlin.de/HSP0006300500000000" TargetMode="External"/><Relationship Id="rId49" Type="http://schemas.openxmlformats.org/officeDocument/2006/relationships/hyperlink" Target="https://resolver.staatsbibliothek-berlin.de/HSP00062F7C00000000" TargetMode="External"/><Relationship Id="rId184" Type="http://schemas.openxmlformats.org/officeDocument/2006/relationships/hyperlink" Target="https://resolver.staatsbibliothek-berlin.de/HSP0006300400000000" TargetMode="External"/><Relationship Id="rId189" Type="http://schemas.openxmlformats.org/officeDocument/2006/relationships/hyperlink" Target="https://resolver.staatsbibliothek-berlin.de/HSP0006300900000000" TargetMode="External"/><Relationship Id="rId188" Type="http://schemas.openxmlformats.org/officeDocument/2006/relationships/hyperlink" Target="https://resolver.staatsbibliothek-berlin.de/HSP0006300800000000" TargetMode="External"/><Relationship Id="rId31" Type="http://schemas.openxmlformats.org/officeDocument/2006/relationships/hyperlink" Target="https://resolver.staatsbibliothek-berlin.de/HSP00062F6D00000000" TargetMode="External"/><Relationship Id="rId30" Type="http://schemas.openxmlformats.org/officeDocument/2006/relationships/hyperlink" Target="https://resolver.staatsbibliothek-berlin.de/HSP00062F6400000000" TargetMode="External"/><Relationship Id="rId33" Type="http://schemas.openxmlformats.org/officeDocument/2006/relationships/hyperlink" Target="https://resolver.staatsbibliothek-berlin.de/HSP00062F6C00000000" TargetMode="External"/><Relationship Id="rId183" Type="http://schemas.openxmlformats.org/officeDocument/2006/relationships/hyperlink" Target="https://resolver.staatsbibliothek-berlin.de/HSP0006300300000000" TargetMode="External"/><Relationship Id="rId32" Type="http://schemas.openxmlformats.org/officeDocument/2006/relationships/hyperlink" Target="https://resolver.staatsbibliothek-berlin.de/HSP00062F6B00000000" TargetMode="External"/><Relationship Id="rId182" Type="http://schemas.openxmlformats.org/officeDocument/2006/relationships/hyperlink" Target="https://resolver.staatsbibliothek-berlin.de/HSP0006300200000000" TargetMode="External"/><Relationship Id="rId35" Type="http://schemas.openxmlformats.org/officeDocument/2006/relationships/hyperlink" Target="https://resolver.staatsbibliothek-berlin.de/HSP00062F6E00000000" TargetMode="External"/><Relationship Id="rId181" Type="http://schemas.openxmlformats.org/officeDocument/2006/relationships/hyperlink" Target="https://resolver.staatsbibliothek-berlin.de/HSP0006300100000000" TargetMode="External"/><Relationship Id="rId34" Type="http://schemas.openxmlformats.org/officeDocument/2006/relationships/hyperlink" Target="https://resolver.staatsbibliothek-berlin.de/HSP00062F6A00000000" TargetMode="External"/><Relationship Id="rId180" Type="http://schemas.openxmlformats.org/officeDocument/2006/relationships/hyperlink" Target="https://resolver.staatsbibliothek-berlin.de/HSP0006300000000000" TargetMode="External"/><Relationship Id="rId37" Type="http://schemas.openxmlformats.org/officeDocument/2006/relationships/hyperlink" Target="https://resolver.staatsbibliothek-berlin.de/HSP00062F7000000000" TargetMode="External"/><Relationship Id="rId176" Type="http://schemas.openxmlformats.org/officeDocument/2006/relationships/hyperlink" Target="https://resolver.staatsbibliothek-berlin.de/HSP00062FFC00000000" TargetMode="External"/><Relationship Id="rId36" Type="http://schemas.openxmlformats.org/officeDocument/2006/relationships/hyperlink" Target="https://resolver.staatsbibliothek-berlin.de/HSP00062F7300000000" TargetMode="External"/><Relationship Id="rId175" Type="http://schemas.openxmlformats.org/officeDocument/2006/relationships/hyperlink" Target="https://resolver.staatsbibliothek-berlin.de/HSP00062FFB00000000" TargetMode="External"/><Relationship Id="rId39" Type="http://schemas.openxmlformats.org/officeDocument/2006/relationships/hyperlink" Target="https://resolver.staatsbibliothek-berlin.de/HSP00062F7100000000" TargetMode="External"/><Relationship Id="rId174" Type="http://schemas.openxmlformats.org/officeDocument/2006/relationships/hyperlink" Target="https://resolver.staatsbibliothek-berlin.de/HSP00062FFA00000000" TargetMode="External"/><Relationship Id="rId38" Type="http://schemas.openxmlformats.org/officeDocument/2006/relationships/hyperlink" Target="https://resolver.staatsbibliothek-berlin.de/HSP00062F7200000000" TargetMode="External"/><Relationship Id="rId173" Type="http://schemas.openxmlformats.org/officeDocument/2006/relationships/hyperlink" Target="https://resolver.staatsbibliothek-berlin.de/HSP00062FF900000000" TargetMode="External"/><Relationship Id="rId179" Type="http://schemas.openxmlformats.org/officeDocument/2006/relationships/hyperlink" Target="https://resolver.staatsbibliothek-berlin.de/HSP00062FFF00000000" TargetMode="External"/><Relationship Id="rId178" Type="http://schemas.openxmlformats.org/officeDocument/2006/relationships/hyperlink" Target="https://resolver.staatsbibliothek-berlin.de/HSP00062FFE00000000" TargetMode="External"/><Relationship Id="rId177" Type="http://schemas.openxmlformats.org/officeDocument/2006/relationships/hyperlink" Target="https://resolver.staatsbibliothek-berlin.de/HSP00062FFD00000000" TargetMode="External"/><Relationship Id="rId20" Type="http://schemas.openxmlformats.org/officeDocument/2006/relationships/hyperlink" Target="https://resolver.staatsbibliothek-berlin.de/HSP00062F6100000000" TargetMode="External"/><Relationship Id="rId22" Type="http://schemas.openxmlformats.org/officeDocument/2006/relationships/hyperlink" Target="https://resolver.staatsbibliothek-berlin.de/HSP00062F5F00000000" TargetMode="External"/><Relationship Id="rId21" Type="http://schemas.openxmlformats.org/officeDocument/2006/relationships/hyperlink" Target="https://resolver.staatsbibliothek-berlin.de/HSP00062F6000000000" TargetMode="External"/><Relationship Id="rId24" Type="http://schemas.openxmlformats.org/officeDocument/2006/relationships/hyperlink" Target="https://resolver.staatsbibliothek-berlin.de/HSP00062F6300000000" TargetMode="External"/><Relationship Id="rId23" Type="http://schemas.openxmlformats.org/officeDocument/2006/relationships/hyperlink" Target="https://resolver.staatsbibliothek-berlin.de/HSP00062F6800000000" TargetMode="External"/><Relationship Id="rId26" Type="http://schemas.openxmlformats.org/officeDocument/2006/relationships/hyperlink" Target="https://resolver.staatsbibliothek-berlin.de/HSP00062F6900000000" TargetMode="External"/><Relationship Id="rId25" Type="http://schemas.openxmlformats.org/officeDocument/2006/relationships/hyperlink" Target="https://resolver.staatsbibliothek-berlin.de/HSP00062F6500000000" TargetMode="External"/><Relationship Id="rId28" Type="http://schemas.openxmlformats.org/officeDocument/2006/relationships/hyperlink" Target="https://resolver.staatsbibliothek-berlin.de/HSP00062F6700000000" TargetMode="External"/><Relationship Id="rId27" Type="http://schemas.openxmlformats.org/officeDocument/2006/relationships/hyperlink" Target="https://resolver.staatsbibliothek-berlin.de/HSP00062F6200000000" TargetMode="External"/><Relationship Id="rId29" Type="http://schemas.openxmlformats.org/officeDocument/2006/relationships/hyperlink" Target="https://resolver.staatsbibliothek-berlin.de/HSP00062F6600000000" TargetMode="External"/><Relationship Id="rId11" Type="http://schemas.openxmlformats.org/officeDocument/2006/relationships/hyperlink" Target="https://resolver.staatsbibliothek-berlin.de/HSP00062F5500000000" TargetMode="External"/><Relationship Id="rId10" Type="http://schemas.openxmlformats.org/officeDocument/2006/relationships/hyperlink" Target="https://resolver.staatsbibliothek-berlin.de/HSP00062F5600000000" TargetMode="External"/><Relationship Id="rId13" Type="http://schemas.openxmlformats.org/officeDocument/2006/relationships/hyperlink" Target="https://resolver.staatsbibliothek-berlin.de/HSP00062F5A00000000" TargetMode="External"/><Relationship Id="rId12" Type="http://schemas.openxmlformats.org/officeDocument/2006/relationships/hyperlink" Target="https://resolver.staatsbibliothek-berlin.de/HSP00062F5700000000" TargetMode="External"/><Relationship Id="rId15" Type="http://schemas.openxmlformats.org/officeDocument/2006/relationships/hyperlink" Target="https://resolver.staatsbibliothek-berlin.de/HSP00062F5B00000000" TargetMode="External"/><Relationship Id="rId198" Type="http://schemas.openxmlformats.org/officeDocument/2006/relationships/hyperlink" Target="https://resolver.staatsbibliothek-berlin.de/HSP0006301200000000" TargetMode="External"/><Relationship Id="rId14" Type="http://schemas.openxmlformats.org/officeDocument/2006/relationships/hyperlink" Target="https://resolver.staatsbibliothek-berlin.de/HSP00062F5800000000" TargetMode="External"/><Relationship Id="rId197" Type="http://schemas.openxmlformats.org/officeDocument/2006/relationships/hyperlink" Target="https://resolver.staatsbibliothek-berlin.de/HSP0006301100000000" TargetMode="External"/><Relationship Id="rId17" Type="http://schemas.openxmlformats.org/officeDocument/2006/relationships/hyperlink" Target="https://resolver.staatsbibliothek-berlin.de/HSP00062F5E00000000" TargetMode="External"/><Relationship Id="rId196" Type="http://schemas.openxmlformats.org/officeDocument/2006/relationships/hyperlink" Target="https://resolver.staatsbibliothek-berlin.de/HSP0006301000000000" TargetMode="External"/><Relationship Id="rId16" Type="http://schemas.openxmlformats.org/officeDocument/2006/relationships/hyperlink" Target="https://resolver.staatsbibliothek-berlin.de/HSP00062F5900000000" TargetMode="External"/><Relationship Id="rId195" Type="http://schemas.openxmlformats.org/officeDocument/2006/relationships/hyperlink" Target="https://resolver.staatsbibliothek-berlin.de/HSP0006300F00000000" TargetMode="External"/><Relationship Id="rId19" Type="http://schemas.openxmlformats.org/officeDocument/2006/relationships/hyperlink" Target="https://resolver.staatsbibliothek-berlin.de/HSP00062F5D00000000" TargetMode="External"/><Relationship Id="rId18" Type="http://schemas.openxmlformats.org/officeDocument/2006/relationships/hyperlink" Target="https://resolver.staatsbibliothek-berlin.de/HSP00062F5C00000000" TargetMode="External"/><Relationship Id="rId199" Type="http://schemas.openxmlformats.org/officeDocument/2006/relationships/hyperlink" Target="https://resolver.staatsbibliothek-berlin.de/HSP0006301300000000" TargetMode="External"/><Relationship Id="rId84" Type="http://schemas.openxmlformats.org/officeDocument/2006/relationships/hyperlink" Target="https://resolver.staatsbibliothek-berlin.de/HSP00062FA100000000" TargetMode="External"/><Relationship Id="rId83" Type="http://schemas.openxmlformats.org/officeDocument/2006/relationships/hyperlink" Target="https://resolver.staatsbibliothek-berlin.de/HSP00062F9C00000000" TargetMode="External"/><Relationship Id="rId86" Type="http://schemas.openxmlformats.org/officeDocument/2006/relationships/hyperlink" Target="https://resolver.staatsbibliothek-berlin.de/HSP00062FA600000000" TargetMode="External"/><Relationship Id="rId85" Type="http://schemas.openxmlformats.org/officeDocument/2006/relationships/hyperlink" Target="https://resolver.staatsbibliothek-berlin.de/HSP00062F9E00000000" TargetMode="External"/><Relationship Id="rId88" Type="http://schemas.openxmlformats.org/officeDocument/2006/relationships/hyperlink" Target="https://resolver.staatsbibliothek-berlin.de/HSP00062FA000000000" TargetMode="External"/><Relationship Id="rId150" Type="http://schemas.openxmlformats.org/officeDocument/2006/relationships/hyperlink" Target="https://resolver.staatsbibliothek-berlin.de/HSP00062FE200000000" TargetMode="External"/><Relationship Id="rId271" Type="http://schemas.openxmlformats.org/officeDocument/2006/relationships/hyperlink" Target="https://resolver.staatsbibliothek-berlin.de/HSP0007102700000000" TargetMode="External"/><Relationship Id="rId87" Type="http://schemas.openxmlformats.org/officeDocument/2006/relationships/hyperlink" Target="https://resolver.staatsbibliothek-berlin.de/HSP00062FA500000000" TargetMode="External"/><Relationship Id="rId270" Type="http://schemas.openxmlformats.org/officeDocument/2006/relationships/hyperlink" Target="https://resolver.staatsbibliothek-berlin.de/HSP0007128200000000" TargetMode="External"/><Relationship Id="rId89" Type="http://schemas.openxmlformats.org/officeDocument/2006/relationships/hyperlink" Target="https://resolver.staatsbibliothek-berlin.de/HSP00062F9F00000000" TargetMode="External"/><Relationship Id="rId80" Type="http://schemas.openxmlformats.org/officeDocument/2006/relationships/hyperlink" Target="https://resolver.staatsbibliothek-berlin.de/HSP00062F9500000000" TargetMode="External"/><Relationship Id="rId82" Type="http://schemas.openxmlformats.org/officeDocument/2006/relationships/hyperlink" Target="https://resolver.staatsbibliothek-berlin.de/HSP00062FA400000000" TargetMode="External"/><Relationship Id="rId81" Type="http://schemas.openxmlformats.org/officeDocument/2006/relationships/hyperlink" Target="https://resolver.staatsbibliothek-berlin.de/HSP00062FA800000000" TargetMode="External"/><Relationship Id="rId1" Type="http://schemas.openxmlformats.org/officeDocument/2006/relationships/hyperlink" Target="https://resolver.staatsbibliothek-berlin.de/HSP00062F4C00000000" TargetMode="External"/><Relationship Id="rId2" Type="http://schemas.openxmlformats.org/officeDocument/2006/relationships/hyperlink" Target="https://resolver.staatsbibliothek-berlin.de/HSP00062F4D00000000" TargetMode="External"/><Relationship Id="rId3" Type="http://schemas.openxmlformats.org/officeDocument/2006/relationships/hyperlink" Target="https://resolver.staatsbibliothek-berlin.de/HSP00062F4F00000000" TargetMode="External"/><Relationship Id="rId149" Type="http://schemas.openxmlformats.org/officeDocument/2006/relationships/hyperlink" Target="https://resolver.staatsbibliothek-berlin.de/HSP00062FE100000000" TargetMode="External"/><Relationship Id="rId4" Type="http://schemas.openxmlformats.org/officeDocument/2006/relationships/hyperlink" Target="https://resolver.staatsbibliothek-berlin.de/HSP00062F4E00000000" TargetMode="External"/><Relationship Id="rId148" Type="http://schemas.openxmlformats.org/officeDocument/2006/relationships/hyperlink" Target="https://resolver.staatsbibliothek-berlin.de/HSP00062FE000000000" TargetMode="External"/><Relationship Id="rId269" Type="http://schemas.openxmlformats.org/officeDocument/2006/relationships/hyperlink" Target="https://resolver.staatsbibliothek-berlin.de/HSP0007128100000000" TargetMode="External"/><Relationship Id="rId9" Type="http://schemas.openxmlformats.org/officeDocument/2006/relationships/hyperlink" Target="https://resolver.staatsbibliothek-berlin.de/HSP00062F5300000000" TargetMode="External"/><Relationship Id="rId143" Type="http://schemas.openxmlformats.org/officeDocument/2006/relationships/hyperlink" Target="https://resolver.staatsbibliothek-berlin.de/HSP00062FDA00000000" TargetMode="External"/><Relationship Id="rId264" Type="http://schemas.openxmlformats.org/officeDocument/2006/relationships/hyperlink" Target="https://resolver.staatsbibliothek-berlin.de/HSP00070AB100000000" TargetMode="External"/><Relationship Id="rId142" Type="http://schemas.openxmlformats.org/officeDocument/2006/relationships/hyperlink" Target="https://resolver.staatsbibliothek-berlin.de/HSP00062FDB00000000" TargetMode="External"/><Relationship Id="rId263" Type="http://schemas.openxmlformats.org/officeDocument/2006/relationships/hyperlink" Target="https://resolver.staatsbibliothek-berlin.de/HSP00070AB000000000" TargetMode="External"/><Relationship Id="rId141" Type="http://schemas.openxmlformats.org/officeDocument/2006/relationships/hyperlink" Target="https://resolver.staatsbibliothek-berlin.de/HSP00062FD700000000" TargetMode="External"/><Relationship Id="rId262" Type="http://schemas.openxmlformats.org/officeDocument/2006/relationships/hyperlink" Target="https://resolver.staatsbibliothek-berlin.de/HSP0006DF6C00000000" TargetMode="External"/><Relationship Id="rId140" Type="http://schemas.openxmlformats.org/officeDocument/2006/relationships/hyperlink" Target="https://resolver.staatsbibliothek-berlin.de/HSP00062FD800000000" TargetMode="External"/><Relationship Id="rId261" Type="http://schemas.openxmlformats.org/officeDocument/2006/relationships/hyperlink" Target="https://resolver.staatsbibliothek-berlin.de/HSP0006DF6F00000000" TargetMode="External"/><Relationship Id="rId5" Type="http://schemas.openxmlformats.org/officeDocument/2006/relationships/hyperlink" Target="https://resolver.staatsbibliothek-berlin.de/HSP00062F5000000000" TargetMode="External"/><Relationship Id="rId147" Type="http://schemas.openxmlformats.org/officeDocument/2006/relationships/hyperlink" Target="https://resolver.staatsbibliothek-berlin.de/HSP00062FDF00000000" TargetMode="External"/><Relationship Id="rId268" Type="http://schemas.openxmlformats.org/officeDocument/2006/relationships/hyperlink" Target="https://resolver.staatsbibliothek-berlin.de/HSP0007102400000000" TargetMode="External"/><Relationship Id="rId6" Type="http://schemas.openxmlformats.org/officeDocument/2006/relationships/hyperlink" Target="https://resolver.staatsbibliothek-berlin.de/HSP00062F5100000000" TargetMode="External"/><Relationship Id="rId146" Type="http://schemas.openxmlformats.org/officeDocument/2006/relationships/hyperlink" Target="https://resolver.staatsbibliothek-berlin.de/HSP00062FDE00000000" TargetMode="External"/><Relationship Id="rId267" Type="http://schemas.openxmlformats.org/officeDocument/2006/relationships/hyperlink" Target="https://resolver.staatsbibliothek-berlin.de/HSP0007102300000000" TargetMode="External"/><Relationship Id="rId7" Type="http://schemas.openxmlformats.org/officeDocument/2006/relationships/hyperlink" Target="https://resolver.staatsbibliothek-berlin.de/HSP00062F5200000000" TargetMode="External"/><Relationship Id="rId145" Type="http://schemas.openxmlformats.org/officeDocument/2006/relationships/hyperlink" Target="https://resolver.staatsbibliothek-berlin.de/HSP00062FDD00000000" TargetMode="External"/><Relationship Id="rId266" Type="http://schemas.openxmlformats.org/officeDocument/2006/relationships/hyperlink" Target="https://resolver.staatsbibliothek-berlin.de/HSP00070AB300000000" TargetMode="External"/><Relationship Id="rId8" Type="http://schemas.openxmlformats.org/officeDocument/2006/relationships/hyperlink" Target="https://resolver.staatsbibliothek-berlin.de/HSP00062F5400000000" TargetMode="External"/><Relationship Id="rId144" Type="http://schemas.openxmlformats.org/officeDocument/2006/relationships/hyperlink" Target="https://resolver.staatsbibliothek-berlin.de/HSP00062FDC00000000" TargetMode="External"/><Relationship Id="rId265" Type="http://schemas.openxmlformats.org/officeDocument/2006/relationships/hyperlink" Target="https://resolver.staatsbibliothek-berlin.de/HSP00070AB200000000" TargetMode="External"/><Relationship Id="rId73" Type="http://schemas.openxmlformats.org/officeDocument/2006/relationships/hyperlink" Target="https://resolver.staatsbibliothek-berlin.de/HSP00062F9900000000" TargetMode="External"/><Relationship Id="rId72" Type="http://schemas.openxmlformats.org/officeDocument/2006/relationships/hyperlink" Target="https://resolver.staatsbibliothek-berlin.de/HSP00062F9300000000" TargetMode="External"/><Relationship Id="rId75" Type="http://schemas.openxmlformats.org/officeDocument/2006/relationships/hyperlink" Target="https://resolver.staatsbibliothek-berlin.de/HSP00062F9700000000" TargetMode="External"/><Relationship Id="rId74" Type="http://schemas.openxmlformats.org/officeDocument/2006/relationships/hyperlink" Target="https://resolver.staatsbibliothek-berlin.de/HSP00062F9A00000000" TargetMode="External"/><Relationship Id="rId77" Type="http://schemas.openxmlformats.org/officeDocument/2006/relationships/hyperlink" Target="https://resolver.staatsbibliothek-berlin.de/HSP00062F9600000000" TargetMode="External"/><Relationship Id="rId260" Type="http://schemas.openxmlformats.org/officeDocument/2006/relationships/hyperlink" Target="https://resolver.staatsbibliothek-berlin.de/HSP0006DF7A00000000" TargetMode="External"/><Relationship Id="rId76" Type="http://schemas.openxmlformats.org/officeDocument/2006/relationships/hyperlink" Target="https://resolver.staatsbibliothek-berlin.de/HSP00062F9800000000" TargetMode="External"/><Relationship Id="rId79" Type="http://schemas.openxmlformats.org/officeDocument/2006/relationships/hyperlink" Target="https://resolver.staatsbibliothek-berlin.de/HSP00062F9D00000000" TargetMode="External"/><Relationship Id="rId78" Type="http://schemas.openxmlformats.org/officeDocument/2006/relationships/hyperlink" Target="https://resolver.staatsbibliothek-berlin.de/HSP00062F9B00000000" TargetMode="External"/><Relationship Id="rId71" Type="http://schemas.openxmlformats.org/officeDocument/2006/relationships/hyperlink" Target="https://resolver.staatsbibliothek-berlin.de/HSP00062F9400000000" TargetMode="External"/><Relationship Id="rId70" Type="http://schemas.openxmlformats.org/officeDocument/2006/relationships/hyperlink" Target="https://resolver.staatsbibliothek-berlin.de/HSP00062F9100000000" TargetMode="External"/><Relationship Id="rId139" Type="http://schemas.openxmlformats.org/officeDocument/2006/relationships/hyperlink" Target="https://resolver.staatsbibliothek-berlin.de/HSP00062FD600000000" TargetMode="External"/><Relationship Id="rId138" Type="http://schemas.openxmlformats.org/officeDocument/2006/relationships/hyperlink" Target="https://resolver.staatsbibliothek-berlin.de/HSP00062FD900000000" TargetMode="External"/><Relationship Id="rId259" Type="http://schemas.openxmlformats.org/officeDocument/2006/relationships/hyperlink" Target="https://resolver.staatsbibliothek-berlin.de/HSP0006DF7700000000" TargetMode="External"/><Relationship Id="rId137" Type="http://schemas.openxmlformats.org/officeDocument/2006/relationships/hyperlink" Target="https://resolver.staatsbibliothek-berlin.de/HSP00062FD500000000" TargetMode="External"/><Relationship Id="rId258" Type="http://schemas.openxmlformats.org/officeDocument/2006/relationships/hyperlink" Target="https://resolver.staatsbibliothek-berlin.de/HSP0006DF7300000000" TargetMode="External"/><Relationship Id="rId132" Type="http://schemas.openxmlformats.org/officeDocument/2006/relationships/hyperlink" Target="https://resolver.staatsbibliothek-berlin.de/HSP00062FD200000000" TargetMode="External"/><Relationship Id="rId253" Type="http://schemas.openxmlformats.org/officeDocument/2006/relationships/hyperlink" Target="https://resolver.staatsbibliothek-berlin.de/HSP0006DF7500000000" TargetMode="External"/><Relationship Id="rId131" Type="http://schemas.openxmlformats.org/officeDocument/2006/relationships/hyperlink" Target="https://resolver.staatsbibliothek-berlin.de/HSP00062FD000000000" TargetMode="External"/><Relationship Id="rId252" Type="http://schemas.openxmlformats.org/officeDocument/2006/relationships/hyperlink" Target="https://resolver.staatsbibliothek-berlin.de/HSP0006DF7100000000" TargetMode="External"/><Relationship Id="rId130" Type="http://schemas.openxmlformats.org/officeDocument/2006/relationships/hyperlink" Target="https://resolver.staatsbibliothek-berlin.de/HSP00062FCC00000000" TargetMode="External"/><Relationship Id="rId251" Type="http://schemas.openxmlformats.org/officeDocument/2006/relationships/hyperlink" Target="https://resolver.staatsbibliothek-berlin.de/HSP0006DF7600000000" TargetMode="External"/><Relationship Id="rId250" Type="http://schemas.openxmlformats.org/officeDocument/2006/relationships/hyperlink" Target="https://resolver.staatsbibliothek-berlin.de/HSP0006DF7000000000" TargetMode="External"/><Relationship Id="rId136" Type="http://schemas.openxmlformats.org/officeDocument/2006/relationships/hyperlink" Target="https://resolver.staatsbibliothek-berlin.de/HSP00062FD300000000" TargetMode="External"/><Relationship Id="rId257" Type="http://schemas.openxmlformats.org/officeDocument/2006/relationships/hyperlink" Target="https://resolver.staatsbibliothek-berlin.de/HSP0006DF7800000000" TargetMode="External"/><Relationship Id="rId135" Type="http://schemas.openxmlformats.org/officeDocument/2006/relationships/hyperlink" Target="https://resolver.staatsbibliothek-berlin.de/HSP00062FD400000000" TargetMode="External"/><Relationship Id="rId256" Type="http://schemas.openxmlformats.org/officeDocument/2006/relationships/hyperlink" Target="https://resolver.staatsbibliothek-berlin.de/HSP0006DF6E00000000" TargetMode="External"/><Relationship Id="rId134" Type="http://schemas.openxmlformats.org/officeDocument/2006/relationships/hyperlink" Target="https://resolver.staatsbibliothek-berlin.de/HSP00062FCF00000000" TargetMode="External"/><Relationship Id="rId255" Type="http://schemas.openxmlformats.org/officeDocument/2006/relationships/hyperlink" Target="https://resolver.staatsbibliothek-berlin.de/HSP0006DF6D00000000" TargetMode="External"/><Relationship Id="rId133" Type="http://schemas.openxmlformats.org/officeDocument/2006/relationships/hyperlink" Target="https://resolver.staatsbibliothek-berlin.de/HSP00062FD100000000" TargetMode="External"/><Relationship Id="rId254" Type="http://schemas.openxmlformats.org/officeDocument/2006/relationships/hyperlink" Target="https://resolver.staatsbibliothek-berlin.de/HSP0006DF6B00000000" TargetMode="External"/><Relationship Id="rId62" Type="http://schemas.openxmlformats.org/officeDocument/2006/relationships/hyperlink" Target="https://resolver.staatsbibliothek-berlin.de/HSP00062F8B00000000" TargetMode="External"/><Relationship Id="rId61" Type="http://schemas.openxmlformats.org/officeDocument/2006/relationships/hyperlink" Target="https://resolver.staatsbibliothek-berlin.de/HSP00062F8A00000000" TargetMode="External"/><Relationship Id="rId64" Type="http://schemas.openxmlformats.org/officeDocument/2006/relationships/hyperlink" Target="https://resolver.staatsbibliothek-berlin.de/HSP00062F8900000000" TargetMode="External"/><Relationship Id="rId63" Type="http://schemas.openxmlformats.org/officeDocument/2006/relationships/hyperlink" Target="https://resolver.staatsbibliothek-berlin.de/HSP00062F8D00000000" TargetMode="External"/><Relationship Id="rId66" Type="http://schemas.openxmlformats.org/officeDocument/2006/relationships/hyperlink" Target="https://resolver.staatsbibliothek-berlin.de/HSP00062F8E00000000" TargetMode="External"/><Relationship Id="rId172" Type="http://schemas.openxmlformats.org/officeDocument/2006/relationships/hyperlink" Target="https://resolver.staatsbibliothek-berlin.de/HSP00062FF800000000" TargetMode="External"/><Relationship Id="rId65" Type="http://schemas.openxmlformats.org/officeDocument/2006/relationships/hyperlink" Target="https://resolver.staatsbibliothek-berlin.de/HSP00062F9200000000" TargetMode="External"/><Relationship Id="rId171" Type="http://schemas.openxmlformats.org/officeDocument/2006/relationships/hyperlink" Target="https://resolver.staatsbibliothek-berlin.de/HSP00062FF700000000" TargetMode="External"/><Relationship Id="rId68" Type="http://schemas.openxmlformats.org/officeDocument/2006/relationships/hyperlink" Target="https://resolver.staatsbibliothek-berlin.de/HSP00062F8C00000000" TargetMode="External"/><Relationship Id="rId170" Type="http://schemas.openxmlformats.org/officeDocument/2006/relationships/hyperlink" Target="https://resolver.staatsbibliothek-berlin.de/HSP00062FF600000000" TargetMode="External"/><Relationship Id="rId67" Type="http://schemas.openxmlformats.org/officeDocument/2006/relationships/hyperlink" Target="https://resolver.staatsbibliothek-berlin.de/HSP00062F9000000000" TargetMode="External"/><Relationship Id="rId60" Type="http://schemas.openxmlformats.org/officeDocument/2006/relationships/hyperlink" Target="https://resolver.staatsbibliothek-berlin.de/HSP00062F8600000000" TargetMode="External"/><Relationship Id="rId165" Type="http://schemas.openxmlformats.org/officeDocument/2006/relationships/hyperlink" Target="https://resolver.staatsbibliothek-berlin.de/HSP00062FF100000000" TargetMode="External"/><Relationship Id="rId286" Type="http://schemas.openxmlformats.org/officeDocument/2006/relationships/hyperlink" Target="https://resolver.staatsbibliothek-berlin.de/HSP0007122200000000" TargetMode="External"/><Relationship Id="rId69" Type="http://schemas.openxmlformats.org/officeDocument/2006/relationships/hyperlink" Target="https://resolver.staatsbibliothek-berlin.de/HSP00062F8F00000000" TargetMode="External"/><Relationship Id="rId164" Type="http://schemas.openxmlformats.org/officeDocument/2006/relationships/hyperlink" Target="https://resolver.staatsbibliothek-berlin.de/HSP00062FF000000000" TargetMode="External"/><Relationship Id="rId285" Type="http://schemas.openxmlformats.org/officeDocument/2006/relationships/hyperlink" Target="https://resolver.staatsbibliothek-berlin.de/HSP0007121F00000000" TargetMode="External"/><Relationship Id="rId163" Type="http://schemas.openxmlformats.org/officeDocument/2006/relationships/hyperlink" Target="https://resolver.staatsbibliothek-berlin.de/HSP00062FEF00000000" TargetMode="External"/><Relationship Id="rId284" Type="http://schemas.openxmlformats.org/officeDocument/2006/relationships/hyperlink" Target="https://resolver.staatsbibliothek-berlin.de/HSP0007122100000000" TargetMode="External"/><Relationship Id="rId162" Type="http://schemas.openxmlformats.org/officeDocument/2006/relationships/hyperlink" Target="https://resolver.staatsbibliothek-berlin.de/HSP00062FEE00000000" TargetMode="External"/><Relationship Id="rId283" Type="http://schemas.openxmlformats.org/officeDocument/2006/relationships/hyperlink" Target="https://resolver.staatsbibliothek-berlin.de/HSP000711E900000000" TargetMode="External"/><Relationship Id="rId169" Type="http://schemas.openxmlformats.org/officeDocument/2006/relationships/hyperlink" Target="https://resolver.staatsbibliothek-berlin.de/HSP00062FF500000000" TargetMode="External"/><Relationship Id="rId168" Type="http://schemas.openxmlformats.org/officeDocument/2006/relationships/hyperlink" Target="https://resolver.staatsbibliothek-berlin.de/HSP00062FF400000000" TargetMode="External"/><Relationship Id="rId289" Type="http://schemas.openxmlformats.org/officeDocument/2006/relationships/drawing" Target="../drawings/drawing3.xml"/><Relationship Id="rId167" Type="http://schemas.openxmlformats.org/officeDocument/2006/relationships/hyperlink" Target="https://resolver.staatsbibliothek-berlin.de/HSP00062FF300000000" TargetMode="External"/><Relationship Id="rId288" Type="http://schemas.openxmlformats.org/officeDocument/2006/relationships/hyperlink" Target="https://resolver.staatsbibliothek-berlin.de/HSP0007122000000000" TargetMode="External"/><Relationship Id="rId166" Type="http://schemas.openxmlformats.org/officeDocument/2006/relationships/hyperlink" Target="https://resolver.staatsbibliothek-berlin.de/HSP00062FF200000000" TargetMode="External"/><Relationship Id="rId287" Type="http://schemas.openxmlformats.org/officeDocument/2006/relationships/hyperlink" Target="https://resolver.staatsbibliothek-berlin.de/HSP0007121E00000000" TargetMode="External"/><Relationship Id="rId51" Type="http://schemas.openxmlformats.org/officeDocument/2006/relationships/hyperlink" Target="https://resolver.staatsbibliothek-berlin.de/HSP00062F7E00000000" TargetMode="External"/><Relationship Id="rId50" Type="http://schemas.openxmlformats.org/officeDocument/2006/relationships/hyperlink" Target="https://resolver.staatsbibliothek-berlin.de/HSP00062F7F00000000" TargetMode="External"/><Relationship Id="rId53" Type="http://schemas.openxmlformats.org/officeDocument/2006/relationships/hyperlink" Target="https://resolver.staatsbibliothek-berlin.de/HSP00062F8400000000" TargetMode="External"/><Relationship Id="rId52" Type="http://schemas.openxmlformats.org/officeDocument/2006/relationships/hyperlink" Target="https://resolver.staatsbibliothek-berlin.de/HSP00062F8100000000" TargetMode="External"/><Relationship Id="rId55" Type="http://schemas.openxmlformats.org/officeDocument/2006/relationships/hyperlink" Target="https://resolver.staatsbibliothek-berlin.de/HSP00062F8300000000" TargetMode="External"/><Relationship Id="rId161" Type="http://schemas.openxmlformats.org/officeDocument/2006/relationships/hyperlink" Target="https://resolver.staatsbibliothek-berlin.de/HSP00062FEB00000000" TargetMode="External"/><Relationship Id="rId282" Type="http://schemas.openxmlformats.org/officeDocument/2006/relationships/hyperlink" Target="https://resolver.staatsbibliothek-berlin.de/HSP000711EC00000000" TargetMode="External"/><Relationship Id="rId54" Type="http://schemas.openxmlformats.org/officeDocument/2006/relationships/hyperlink" Target="https://resolver.staatsbibliothek-berlin.de/HSP00062F8000000000" TargetMode="External"/><Relationship Id="rId160" Type="http://schemas.openxmlformats.org/officeDocument/2006/relationships/hyperlink" Target="https://resolver.staatsbibliothek-berlin.de/HSP00062FED00000000" TargetMode="External"/><Relationship Id="rId281" Type="http://schemas.openxmlformats.org/officeDocument/2006/relationships/hyperlink" Target="https://resolver.staatsbibliothek-berlin.de/HSP0007102800000000" TargetMode="External"/><Relationship Id="rId57" Type="http://schemas.openxmlformats.org/officeDocument/2006/relationships/hyperlink" Target="https://resolver.staatsbibliothek-berlin.de/HSP00062F8500000000" TargetMode="External"/><Relationship Id="rId280" Type="http://schemas.openxmlformats.org/officeDocument/2006/relationships/hyperlink" Target="https://resolver.staatsbibliothek-berlin.de/HSP0007128000000000" TargetMode="External"/><Relationship Id="rId56" Type="http://schemas.openxmlformats.org/officeDocument/2006/relationships/hyperlink" Target="https://resolver.staatsbibliothek-berlin.de/HSP00062F8200000000" TargetMode="External"/><Relationship Id="rId159" Type="http://schemas.openxmlformats.org/officeDocument/2006/relationships/hyperlink" Target="https://resolver.staatsbibliothek-berlin.de/HSP00062FEC00000000" TargetMode="External"/><Relationship Id="rId59" Type="http://schemas.openxmlformats.org/officeDocument/2006/relationships/hyperlink" Target="https://resolver.staatsbibliothek-berlin.de/HSP00062F8800000000" TargetMode="External"/><Relationship Id="rId154" Type="http://schemas.openxmlformats.org/officeDocument/2006/relationships/hyperlink" Target="https://resolver.staatsbibliothek-berlin.de/HSP00062FE600000000" TargetMode="External"/><Relationship Id="rId275" Type="http://schemas.openxmlformats.org/officeDocument/2006/relationships/hyperlink" Target="https://resolver.staatsbibliothek-berlin.de/HSP000711E800000000" TargetMode="External"/><Relationship Id="rId58" Type="http://schemas.openxmlformats.org/officeDocument/2006/relationships/hyperlink" Target="https://resolver.staatsbibliothek-berlin.de/HSP00062F8700000000" TargetMode="External"/><Relationship Id="rId153" Type="http://schemas.openxmlformats.org/officeDocument/2006/relationships/hyperlink" Target="https://resolver.staatsbibliothek-berlin.de/HSP00062FE500000000" TargetMode="External"/><Relationship Id="rId274" Type="http://schemas.openxmlformats.org/officeDocument/2006/relationships/hyperlink" Target="https://resolver.staatsbibliothek-berlin.de/HSP0007128300000000" TargetMode="External"/><Relationship Id="rId152" Type="http://schemas.openxmlformats.org/officeDocument/2006/relationships/hyperlink" Target="https://resolver.staatsbibliothek-berlin.de/HSP00062FE400000000" TargetMode="External"/><Relationship Id="rId273" Type="http://schemas.openxmlformats.org/officeDocument/2006/relationships/hyperlink" Target="https://resolver.staatsbibliothek-berlin.de/HSP0007102600000000" TargetMode="External"/><Relationship Id="rId151" Type="http://schemas.openxmlformats.org/officeDocument/2006/relationships/hyperlink" Target="https://resolver.staatsbibliothek-berlin.de/HSP00062FE300000000" TargetMode="External"/><Relationship Id="rId272" Type="http://schemas.openxmlformats.org/officeDocument/2006/relationships/hyperlink" Target="https://resolver.staatsbibliothek-berlin.de/HSP0007127F00000000" TargetMode="External"/><Relationship Id="rId158" Type="http://schemas.openxmlformats.org/officeDocument/2006/relationships/hyperlink" Target="https://resolver.staatsbibliothek-berlin.de/HSP00062FEA00000000" TargetMode="External"/><Relationship Id="rId279" Type="http://schemas.openxmlformats.org/officeDocument/2006/relationships/hyperlink" Target="https://resolver.staatsbibliothek-berlin.de/HSP000711EA00000000" TargetMode="External"/><Relationship Id="rId157" Type="http://schemas.openxmlformats.org/officeDocument/2006/relationships/hyperlink" Target="https://resolver.staatsbibliothek-berlin.de/HSP00062FE900000000" TargetMode="External"/><Relationship Id="rId278" Type="http://schemas.openxmlformats.org/officeDocument/2006/relationships/hyperlink" Target="https://resolver.staatsbibliothek-berlin.de/HSP000711E700000000" TargetMode="External"/><Relationship Id="rId156" Type="http://schemas.openxmlformats.org/officeDocument/2006/relationships/hyperlink" Target="https://resolver.staatsbibliothek-berlin.de/HSP00062FE800000000" TargetMode="External"/><Relationship Id="rId277" Type="http://schemas.openxmlformats.org/officeDocument/2006/relationships/hyperlink" Target="https://resolver.staatsbibliothek-berlin.de/HSP000711E600000000" TargetMode="External"/><Relationship Id="rId155" Type="http://schemas.openxmlformats.org/officeDocument/2006/relationships/hyperlink" Target="https://resolver.staatsbibliothek-berlin.de/HSP00062FE700000000" TargetMode="External"/><Relationship Id="rId276" Type="http://schemas.openxmlformats.org/officeDocument/2006/relationships/hyperlink" Target="https://resolver.staatsbibliothek-berlin.de/HSP0007102500000000" TargetMode="External"/><Relationship Id="rId107" Type="http://schemas.openxmlformats.org/officeDocument/2006/relationships/hyperlink" Target="https://resolver.staatsbibliothek-berlin.de/HSP00062FB300000000" TargetMode="External"/><Relationship Id="rId228" Type="http://schemas.openxmlformats.org/officeDocument/2006/relationships/hyperlink" Target="https://resolver.staatsbibliothek-berlin.de/HSP0006821600000000" TargetMode="External"/><Relationship Id="rId106" Type="http://schemas.openxmlformats.org/officeDocument/2006/relationships/hyperlink" Target="https://resolver.staatsbibliothek-berlin.de/HSP00062FB800000000" TargetMode="External"/><Relationship Id="rId227" Type="http://schemas.openxmlformats.org/officeDocument/2006/relationships/hyperlink" Target="https://resolver.staatsbibliothek-berlin.de/HSP0006821B00000000" TargetMode="External"/><Relationship Id="rId105" Type="http://schemas.openxmlformats.org/officeDocument/2006/relationships/hyperlink" Target="https://resolver.staatsbibliothek-berlin.de/HSP00062FB100000000" TargetMode="External"/><Relationship Id="rId226" Type="http://schemas.openxmlformats.org/officeDocument/2006/relationships/hyperlink" Target="https://resolver.staatsbibliothek-berlin.de/HSP0006821200000000" TargetMode="External"/><Relationship Id="rId104" Type="http://schemas.openxmlformats.org/officeDocument/2006/relationships/hyperlink" Target="https://resolver.staatsbibliothek-berlin.de/HSP00062FB900000000" TargetMode="External"/><Relationship Id="rId225" Type="http://schemas.openxmlformats.org/officeDocument/2006/relationships/hyperlink" Target="https://resolver.staatsbibliothek-berlin.de/HSP0006821800000000" TargetMode="External"/><Relationship Id="rId109" Type="http://schemas.openxmlformats.org/officeDocument/2006/relationships/hyperlink" Target="https://resolver.staatsbibliothek-berlin.de/HSP00062FB700000000" TargetMode="External"/><Relationship Id="rId108" Type="http://schemas.openxmlformats.org/officeDocument/2006/relationships/hyperlink" Target="https://resolver.staatsbibliothek-berlin.de/HSP00062FB000000000" TargetMode="External"/><Relationship Id="rId229" Type="http://schemas.openxmlformats.org/officeDocument/2006/relationships/hyperlink" Target="https://resolver.staatsbibliothek-berlin.de/HSP0006820E00000000" TargetMode="External"/><Relationship Id="rId220" Type="http://schemas.openxmlformats.org/officeDocument/2006/relationships/hyperlink" Target="https://resolver.staatsbibliothek-berlin.de/HSP0006821400000000" TargetMode="External"/><Relationship Id="rId103" Type="http://schemas.openxmlformats.org/officeDocument/2006/relationships/hyperlink" Target="https://resolver.staatsbibliothek-berlin.de/HSP00062FB400000000" TargetMode="External"/><Relationship Id="rId224" Type="http://schemas.openxmlformats.org/officeDocument/2006/relationships/hyperlink" Target="https://resolver.staatsbibliothek-berlin.de/HSP0006821900000000" TargetMode="External"/><Relationship Id="rId102" Type="http://schemas.openxmlformats.org/officeDocument/2006/relationships/hyperlink" Target="https://resolver.staatsbibliothek-berlin.de/HSP00062FB500000000" TargetMode="External"/><Relationship Id="rId223" Type="http://schemas.openxmlformats.org/officeDocument/2006/relationships/hyperlink" Target="https://resolver.staatsbibliothek-berlin.de/HSP0006821700000000" TargetMode="External"/><Relationship Id="rId101" Type="http://schemas.openxmlformats.org/officeDocument/2006/relationships/hyperlink" Target="https://resolver.staatsbibliothek-berlin.de/HSP00062FB200000000" TargetMode="External"/><Relationship Id="rId222" Type="http://schemas.openxmlformats.org/officeDocument/2006/relationships/hyperlink" Target="https://resolver.staatsbibliothek-berlin.de/HSP0006821500000000" TargetMode="External"/><Relationship Id="rId100" Type="http://schemas.openxmlformats.org/officeDocument/2006/relationships/hyperlink" Target="https://resolver.staatsbibliothek-berlin.de/HSP00062FB600000000" TargetMode="External"/><Relationship Id="rId221" Type="http://schemas.openxmlformats.org/officeDocument/2006/relationships/hyperlink" Target="https://resolver.staatsbibliothek-berlin.de/HSP0006821100000000" TargetMode="External"/><Relationship Id="rId217" Type="http://schemas.openxmlformats.org/officeDocument/2006/relationships/hyperlink" Target="https://resolver.staatsbibliothek-berlin.de/HSP0006821300000000" TargetMode="External"/><Relationship Id="rId216" Type="http://schemas.openxmlformats.org/officeDocument/2006/relationships/hyperlink" Target="https://resolver.staatsbibliothek-berlin.de/HSP0006820F00000000" TargetMode="External"/><Relationship Id="rId215" Type="http://schemas.openxmlformats.org/officeDocument/2006/relationships/hyperlink" Target="https://resolver.staatsbibliothek-berlin.de/HSP000675C400000000" TargetMode="External"/><Relationship Id="rId214" Type="http://schemas.openxmlformats.org/officeDocument/2006/relationships/hyperlink" Target="https://resolver.staatsbibliothek-berlin.de/HSP0006302200000000" TargetMode="External"/><Relationship Id="rId219" Type="http://schemas.openxmlformats.org/officeDocument/2006/relationships/hyperlink" Target="https://resolver.staatsbibliothek-berlin.de/HSP0006821A00000000" TargetMode="External"/><Relationship Id="rId218" Type="http://schemas.openxmlformats.org/officeDocument/2006/relationships/hyperlink" Target="https://resolver.staatsbibliothek-berlin.de/HSP0006821000000000" TargetMode="External"/><Relationship Id="rId213" Type="http://schemas.openxmlformats.org/officeDocument/2006/relationships/hyperlink" Target="https://resolver.staatsbibliothek-berlin.de/HSP0006302000000000" TargetMode="External"/><Relationship Id="rId212" Type="http://schemas.openxmlformats.org/officeDocument/2006/relationships/hyperlink" Target="https://resolver.staatsbibliothek-berlin.de/HSP0006302100000000" TargetMode="External"/><Relationship Id="rId211" Type="http://schemas.openxmlformats.org/officeDocument/2006/relationships/hyperlink" Target="https://resolver.staatsbibliothek-berlin.de/HSP0006301E00000000" TargetMode="External"/><Relationship Id="rId210" Type="http://schemas.openxmlformats.org/officeDocument/2006/relationships/hyperlink" Target="https://resolver.staatsbibliothek-berlin.de/HSP0006301F00000000" TargetMode="External"/><Relationship Id="rId129" Type="http://schemas.openxmlformats.org/officeDocument/2006/relationships/hyperlink" Target="https://resolver.staatsbibliothek-berlin.de/HSP00062FC900000000" TargetMode="External"/><Relationship Id="rId128" Type="http://schemas.openxmlformats.org/officeDocument/2006/relationships/hyperlink" Target="https://resolver.staatsbibliothek-berlin.de/HSP00062FC800000000" TargetMode="External"/><Relationship Id="rId249" Type="http://schemas.openxmlformats.org/officeDocument/2006/relationships/hyperlink" Target="https://resolver.staatsbibliothek-berlin.de/HSP0006DF7900000000" TargetMode="External"/><Relationship Id="rId127" Type="http://schemas.openxmlformats.org/officeDocument/2006/relationships/hyperlink" Target="https://resolver.staatsbibliothek-berlin.de/HSP00062FC700000000" TargetMode="External"/><Relationship Id="rId248" Type="http://schemas.openxmlformats.org/officeDocument/2006/relationships/hyperlink" Target="https://resolver.staatsbibliothek-berlin.de/HSP0006DF7200000000" TargetMode="External"/><Relationship Id="rId126" Type="http://schemas.openxmlformats.org/officeDocument/2006/relationships/hyperlink" Target="https://resolver.staatsbibliothek-berlin.de/HSP00062FC600000000" TargetMode="External"/><Relationship Id="rId247" Type="http://schemas.openxmlformats.org/officeDocument/2006/relationships/hyperlink" Target="https://resolver.staatsbibliothek-berlin.de/HSP0006DF7400000000" TargetMode="External"/><Relationship Id="rId121" Type="http://schemas.openxmlformats.org/officeDocument/2006/relationships/hyperlink" Target="https://resolver.staatsbibliothek-berlin.de/HSP00062FC000000000" TargetMode="External"/><Relationship Id="rId242" Type="http://schemas.openxmlformats.org/officeDocument/2006/relationships/hyperlink" Target="https://resolver.staatsbibliothek-berlin.de/HSP0006822600000000" TargetMode="External"/><Relationship Id="rId120" Type="http://schemas.openxmlformats.org/officeDocument/2006/relationships/hyperlink" Target="https://resolver.staatsbibliothek-berlin.de/HSP00062FCE00000000" TargetMode="External"/><Relationship Id="rId241" Type="http://schemas.openxmlformats.org/officeDocument/2006/relationships/hyperlink" Target="https://resolver.staatsbibliothek-berlin.de/HSP0006822400000000" TargetMode="External"/><Relationship Id="rId240" Type="http://schemas.openxmlformats.org/officeDocument/2006/relationships/hyperlink" Target="https://resolver.staatsbibliothek-berlin.de/HSP0006822200000000" TargetMode="External"/><Relationship Id="rId125" Type="http://schemas.openxmlformats.org/officeDocument/2006/relationships/hyperlink" Target="https://resolver.staatsbibliothek-berlin.de/HSP00062FCA00000000" TargetMode="External"/><Relationship Id="rId246" Type="http://schemas.openxmlformats.org/officeDocument/2006/relationships/hyperlink" Target="https://resolver.staatsbibliothek-berlin.de/HSP0006DCF200000000" TargetMode="External"/><Relationship Id="rId124" Type="http://schemas.openxmlformats.org/officeDocument/2006/relationships/hyperlink" Target="https://resolver.staatsbibliothek-berlin.de/HSP00062FBE00000000" TargetMode="External"/><Relationship Id="rId245" Type="http://schemas.openxmlformats.org/officeDocument/2006/relationships/hyperlink" Target="https://resolver.staatsbibliothek-berlin.de/HSP0006822500000000" TargetMode="External"/><Relationship Id="rId123" Type="http://schemas.openxmlformats.org/officeDocument/2006/relationships/hyperlink" Target="https://resolver.staatsbibliothek-berlin.de/HSP00062FCB00000000" TargetMode="External"/><Relationship Id="rId244" Type="http://schemas.openxmlformats.org/officeDocument/2006/relationships/hyperlink" Target="https://resolver.staatsbibliothek-berlin.de/HSP0006822100000000" TargetMode="External"/><Relationship Id="rId122" Type="http://schemas.openxmlformats.org/officeDocument/2006/relationships/hyperlink" Target="https://resolver.staatsbibliothek-berlin.de/HSP00062FC500000000" TargetMode="External"/><Relationship Id="rId243" Type="http://schemas.openxmlformats.org/officeDocument/2006/relationships/hyperlink" Target="https://resolver.staatsbibliothek-berlin.de/HSP0006822700000000" TargetMode="External"/><Relationship Id="rId95" Type="http://schemas.openxmlformats.org/officeDocument/2006/relationships/hyperlink" Target="https://resolver.staatsbibliothek-berlin.de/HSP00062FAB00000000" TargetMode="External"/><Relationship Id="rId94" Type="http://schemas.openxmlformats.org/officeDocument/2006/relationships/hyperlink" Target="https://resolver.staatsbibliothek-berlin.de/HSP00062FAE00000000" TargetMode="External"/><Relationship Id="rId97" Type="http://schemas.openxmlformats.org/officeDocument/2006/relationships/hyperlink" Target="https://resolver.staatsbibliothek-berlin.de/HSP00062FAA00000000" TargetMode="External"/><Relationship Id="rId96" Type="http://schemas.openxmlformats.org/officeDocument/2006/relationships/hyperlink" Target="https://resolver.staatsbibliothek-berlin.de/HSP00062FAD00000000" TargetMode="External"/><Relationship Id="rId99" Type="http://schemas.openxmlformats.org/officeDocument/2006/relationships/hyperlink" Target="https://resolver.staatsbibliothek-berlin.de/HSP00062FAF00000000" TargetMode="External"/><Relationship Id="rId98" Type="http://schemas.openxmlformats.org/officeDocument/2006/relationships/hyperlink" Target="https://resolver.staatsbibliothek-berlin.de/HSP00062FA900000000" TargetMode="External"/><Relationship Id="rId91" Type="http://schemas.openxmlformats.org/officeDocument/2006/relationships/hyperlink" Target="https://resolver.staatsbibliothek-berlin.de/HSP00062FA200000000" TargetMode="External"/><Relationship Id="rId90" Type="http://schemas.openxmlformats.org/officeDocument/2006/relationships/hyperlink" Target="https://resolver.staatsbibliothek-berlin.de/HSP00062FA700000000" TargetMode="External"/><Relationship Id="rId93" Type="http://schemas.openxmlformats.org/officeDocument/2006/relationships/hyperlink" Target="https://resolver.staatsbibliothek-berlin.de/HSP00062FAC00000000" TargetMode="External"/><Relationship Id="rId92" Type="http://schemas.openxmlformats.org/officeDocument/2006/relationships/hyperlink" Target="https://resolver.staatsbibliothek-berlin.de/HSP00062FA300000000" TargetMode="External"/><Relationship Id="rId118" Type="http://schemas.openxmlformats.org/officeDocument/2006/relationships/hyperlink" Target="https://resolver.staatsbibliothek-berlin.de/HSP00062FC200000000" TargetMode="External"/><Relationship Id="rId239" Type="http://schemas.openxmlformats.org/officeDocument/2006/relationships/hyperlink" Target="https://resolver.staatsbibliothek-berlin.de/HSP0006822800000000" TargetMode="External"/><Relationship Id="rId117" Type="http://schemas.openxmlformats.org/officeDocument/2006/relationships/hyperlink" Target="https://resolver.staatsbibliothek-berlin.de/HSP00062FBD00000000" TargetMode="External"/><Relationship Id="rId238" Type="http://schemas.openxmlformats.org/officeDocument/2006/relationships/hyperlink" Target="https://resolver.staatsbibliothek-berlin.de/HSP0006822300000000" TargetMode="External"/><Relationship Id="rId116" Type="http://schemas.openxmlformats.org/officeDocument/2006/relationships/hyperlink" Target="https://resolver.staatsbibliothek-berlin.de/HSP00062FCD00000000" TargetMode="External"/><Relationship Id="rId237" Type="http://schemas.openxmlformats.org/officeDocument/2006/relationships/hyperlink" Target="https://resolver.staatsbibliothek-berlin.de/HSP0006822900000000" TargetMode="External"/><Relationship Id="rId115" Type="http://schemas.openxmlformats.org/officeDocument/2006/relationships/hyperlink" Target="https://resolver.staatsbibliothek-berlin.de/HSP00062FC100000000" TargetMode="External"/><Relationship Id="rId236" Type="http://schemas.openxmlformats.org/officeDocument/2006/relationships/hyperlink" Target="https://resolver.staatsbibliothek-berlin.de/HSP0006822B00000000" TargetMode="External"/><Relationship Id="rId119" Type="http://schemas.openxmlformats.org/officeDocument/2006/relationships/hyperlink" Target="https://resolver.staatsbibliothek-berlin.de/HSP00062FC400000000" TargetMode="External"/><Relationship Id="rId110" Type="http://schemas.openxmlformats.org/officeDocument/2006/relationships/hyperlink" Target="https://resolver.staatsbibliothek-berlin.de/HSP00062FBB00000000" TargetMode="External"/><Relationship Id="rId231" Type="http://schemas.openxmlformats.org/officeDocument/2006/relationships/hyperlink" Target="https://resolver.staatsbibliothek-berlin.de/HSP0006821E00000000" TargetMode="External"/><Relationship Id="rId230" Type="http://schemas.openxmlformats.org/officeDocument/2006/relationships/hyperlink" Target="https://resolver.staatsbibliothek-berlin.de/HSP0006821C00000000" TargetMode="External"/><Relationship Id="rId114" Type="http://schemas.openxmlformats.org/officeDocument/2006/relationships/hyperlink" Target="https://resolver.staatsbibliothek-berlin.de/HSP00062FC300000000" TargetMode="External"/><Relationship Id="rId235" Type="http://schemas.openxmlformats.org/officeDocument/2006/relationships/hyperlink" Target="https://resolver.staatsbibliothek-berlin.de/HSP0006822A00000000" TargetMode="External"/><Relationship Id="rId113" Type="http://schemas.openxmlformats.org/officeDocument/2006/relationships/hyperlink" Target="https://resolver.staatsbibliothek-berlin.de/HSP00062FBF00000000" TargetMode="External"/><Relationship Id="rId234" Type="http://schemas.openxmlformats.org/officeDocument/2006/relationships/hyperlink" Target="https://resolver.staatsbibliothek-berlin.de/HSP0006821F00000000" TargetMode="External"/><Relationship Id="rId112" Type="http://schemas.openxmlformats.org/officeDocument/2006/relationships/hyperlink" Target="https://resolver.staatsbibliothek-berlin.de/HSP00062FBA00000000" TargetMode="External"/><Relationship Id="rId233" Type="http://schemas.openxmlformats.org/officeDocument/2006/relationships/hyperlink" Target="https://resolver.staatsbibliothek-berlin.de/HSP0006821D00000000" TargetMode="External"/><Relationship Id="rId111" Type="http://schemas.openxmlformats.org/officeDocument/2006/relationships/hyperlink" Target="https://resolver.staatsbibliothek-berlin.de/HSP00062FBC00000000" TargetMode="External"/><Relationship Id="rId232" Type="http://schemas.openxmlformats.org/officeDocument/2006/relationships/hyperlink" Target="https://resolver.staatsbibliothek-berlin.de/HSP0006822000000000" TargetMode="External"/><Relationship Id="rId206" Type="http://schemas.openxmlformats.org/officeDocument/2006/relationships/hyperlink" Target="https://resolver.staatsbibliothek-berlin.de/HSP0006301C00000000" TargetMode="External"/><Relationship Id="rId205" Type="http://schemas.openxmlformats.org/officeDocument/2006/relationships/hyperlink" Target="https://resolver.staatsbibliothek-berlin.de/HSP0006301A00000000" TargetMode="External"/><Relationship Id="rId204" Type="http://schemas.openxmlformats.org/officeDocument/2006/relationships/hyperlink" Target="https://resolver.staatsbibliothek-berlin.de/HSP0006301800000000" TargetMode="External"/><Relationship Id="rId203" Type="http://schemas.openxmlformats.org/officeDocument/2006/relationships/hyperlink" Target="https://resolver.staatsbibliothek-berlin.de/HSP0006301700000000" TargetMode="External"/><Relationship Id="rId209" Type="http://schemas.openxmlformats.org/officeDocument/2006/relationships/hyperlink" Target="https://resolver.staatsbibliothek-berlin.de/HSP0006301D00000000" TargetMode="External"/><Relationship Id="rId208" Type="http://schemas.openxmlformats.org/officeDocument/2006/relationships/hyperlink" Target="https://resolver.staatsbibliothek-berlin.de/HSP0006301B00000000" TargetMode="External"/><Relationship Id="rId207" Type="http://schemas.openxmlformats.org/officeDocument/2006/relationships/hyperlink" Target="https://resolver.staatsbibliothek-berlin.de/HSP0006301900000000" TargetMode="External"/><Relationship Id="rId202" Type="http://schemas.openxmlformats.org/officeDocument/2006/relationships/hyperlink" Target="https://resolver.staatsbibliothek-berlin.de/HSP0006301600000000" TargetMode="External"/><Relationship Id="rId201" Type="http://schemas.openxmlformats.org/officeDocument/2006/relationships/hyperlink" Target="https://resolver.staatsbibliothek-berlin.de/HSP0006301500000000" TargetMode="External"/><Relationship Id="rId200" Type="http://schemas.openxmlformats.org/officeDocument/2006/relationships/hyperlink" Target="https://resolver.staatsbibliothek-berlin.de/HSP000630140000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3" max="3" width="16.25"/>
    <col customWidth="1" min="4" max="4" width="15.5"/>
    <col customWidth="1" min="5" max="5" width="44.5"/>
    <col customWidth="1" min="6" max="6" width="58.0"/>
    <col customWidth="1" min="7" max="7" width="43.5"/>
    <col customWidth="1" min="8" max="8" width="59.5"/>
  </cols>
  <sheetData>
    <row r="1" ht="22.5" customHeight="1">
      <c r="A1" s="13" t="s">
        <v>50</v>
      </c>
      <c r="B1" s="14" t="s">
        <v>0</v>
      </c>
      <c r="C1" s="15" t="s">
        <v>61</v>
      </c>
      <c r="D1" s="16" t="s">
        <v>65</v>
      </c>
      <c r="E1" s="17" t="s">
        <v>71</v>
      </c>
      <c r="F1" s="17" t="s">
        <v>72</v>
      </c>
      <c r="G1" s="17" t="s">
        <v>6</v>
      </c>
      <c r="H1" s="17" t="s">
        <v>76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18">
        <f t="shared" ref="A2:A83" si="1">ROW()-1</f>
        <v>1</v>
      </c>
      <c r="B2" s="19" t="str">
        <f t="shared" ref="B2:B83" si="2">CONCATENATE("Cod. Donaueschingen ",C2)</f>
        <v>Cod. Donaueschingen 63</v>
      </c>
      <c r="C2" s="15">
        <v>63.0</v>
      </c>
      <c r="D2" s="16">
        <v>174.0</v>
      </c>
      <c r="E2" s="20" t="str">
        <f>IF(COUNTIF('HSP-Abzug'!$A$2:$A$300,B2)=1,VLOOKUP(B2,'HSP-Abzug'!$A$3:$L$301,7,FALSE),"")</f>
        <v>HSP-ea91c7ad-4d93-3fb4-8faf-1301b1dba70c</v>
      </c>
      <c r="F2" s="21" t="str">
        <f>IF(COUNTIF('HSP-Abzug'!$A$2:$A$300,B2)=1,VLOOKUP(B2,'HSP-Abzug'!$A$3:$L$301,11,FALSE),"")</f>
        <v>https://resolver.staatsbibliothek-berlin.de/HSP000539EF00000000</v>
      </c>
      <c r="G2" s="20" t="str">
        <f>IF(COUNTIF('HSP-Abzug'!$A$2:$A$300,B3)=1,VLOOKUP(B3,'HSP-Abzug'!$A$3:$L$301,7,FALSE),"")</f>
        <v>HSP-31655ad3-cde6-3c7d-b0a6-dff36cb6843e</v>
      </c>
      <c r="H2" s="21" t="str">
        <f>IF(COUNTIF('HSP-Abzug'!$A$2:$A$300,B3)=1,VLOOKUP(B3,'HSP-Abzug'!$A$3:$L$301,11,FALSE),"")</f>
        <v>https://resolver.staatsbibliothek-berlin.de/HSP000539F000000000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18">
        <f t="shared" si="1"/>
        <v>2</v>
      </c>
      <c r="B3" s="19" t="str">
        <f t="shared" si="2"/>
        <v>Cod. Donaueschingen 64</v>
      </c>
      <c r="C3" s="15">
        <v>64.0</v>
      </c>
      <c r="D3" s="16" t="s">
        <v>37</v>
      </c>
      <c r="E3" s="20" t="str">
        <f>IF(COUNTIF('HSP-Abzug'!$A$2:$A$300,B3)=1,VLOOKUP(B3,'HSP-Abzug'!$A$3:$L$301,7,FALSE),"")</f>
        <v>HSP-31655ad3-cde6-3c7d-b0a6-dff36cb6843e</v>
      </c>
      <c r="F3" s="21" t="str">
        <f>IF(COUNTIF('HSP-Abzug'!$A$2:$A$300,B3)=1,VLOOKUP(B3,'HSP-Abzug'!$A$3:$L$301,11,FALSE),"")</f>
        <v>https://resolver.staatsbibliothek-berlin.de/HSP000539F000000000</v>
      </c>
      <c r="G3" s="20" t="str">
        <f>IF(COUNTIF('HSP-Abzug'!$A$2:$A$300,B4)=1,VLOOKUP(B4,'HSP-Abzug'!$A$3:$L$301,7,FALSE),"")</f>
        <v>HSP-1244bf27-76de-3d0b-a81e-d57aec934668</v>
      </c>
      <c r="H3" s="21" t="str">
        <f>IF(COUNTIF('HSP-Abzug'!$A$2:$A$300,B4)=1,VLOOKUP(B4,'HSP-Abzug'!$A$3:$L$301,11,FALSE),"")</f>
        <v>https://resolver.staatsbibliothek-berlin.de/HSP000539F100000000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2.5" customHeight="1">
      <c r="A4" s="18">
        <f t="shared" si="1"/>
        <v>3</v>
      </c>
      <c r="B4" s="19" t="str">
        <f t="shared" si="2"/>
        <v>Cod. Donaueschingen 66</v>
      </c>
      <c r="C4" s="15">
        <v>66.0</v>
      </c>
      <c r="D4" s="16">
        <v>223.0</v>
      </c>
      <c r="E4" s="20" t="str">
        <f>IF(COUNTIF('HSP-Abzug'!$A$2:$A$300,B4)=1,VLOOKUP(B4,'HSP-Abzug'!$A$3:$L$301,7,FALSE),"")</f>
        <v>HSP-1244bf27-76de-3d0b-a81e-d57aec934668</v>
      </c>
      <c r="F4" s="21" t="str">
        <f>IF(COUNTIF('HSP-Abzug'!$A$2:$A$300,B4)=1,VLOOKUP(B4,'HSP-Abzug'!$A$3:$L$301,11,FALSE),"")</f>
        <v>https://resolver.staatsbibliothek-berlin.de/HSP000539F100000000</v>
      </c>
      <c r="G4" s="20" t="str">
        <f>IF(COUNTIF('HSP-Abzug'!$A$2:$A$300,B5)=1,VLOOKUP(B5,'HSP-Abzug'!$A$3:$L$301,7,FALSE),"")</f>
        <v>HSP-423feb6b-cf26-3213-974a-9a4af84f18a2</v>
      </c>
      <c r="H4" s="21" t="str">
        <f>IF(COUNTIF('HSP-Abzug'!$A$2:$A$300,B5)=1,VLOOKUP(B5,'HSP-Abzug'!$A$3:$L$301,11,FALSE),"")</f>
        <v>https://resolver.staatsbibliothek-berlin.de/HSP000539F200000000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2.5" customHeight="1">
      <c r="A5" s="18">
        <f t="shared" si="1"/>
        <v>4</v>
      </c>
      <c r="B5" s="19" t="str">
        <f t="shared" si="2"/>
        <v>Cod. Donaueschingen 67</v>
      </c>
      <c r="C5" s="15">
        <v>67.0</v>
      </c>
      <c r="D5" s="16">
        <v>203.0</v>
      </c>
      <c r="E5" s="20" t="str">
        <f>IF(COUNTIF('HSP-Abzug'!$A$2:$A$300,B5)=1,VLOOKUP(B5,'HSP-Abzug'!$A$3:$L$301,7,FALSE),"")</f>
        <v>HSP-423feb6b-cf26-3213-974a-9a4af84f18a2</v>
      </c>
      <c r="F5" s="21" t="str">
        <f>IF(COUNTIF('HSP-Abzug'!$A$2:$A$300,B5)=1,VLOOKUP(B5,'HSP-Abzug'!$A$3:$L$301,11,FALSE),"")</f>
        <v>https://resolver.staatsbibliothek-berlin.de/HSP000539F200000000</v>
      </c>
      <c r="G5" s="20" t="str">
        <f>IF(COUNTIF('HSP-Abzug'!$A$2:$A$300,B5)=1,VLOOKUP(B5,'HSP-Abzug'!$A$3:$L$301,10,FALSE),"")</f>
        <v>HSP-3377720a-4adf-3eb5-b89b-ea56882ad801</v>
      </c>
      <c r="H5" s="21" t="str">
        <f>IF(COUNTIF('HSP-Abzug 2'!$A$2:$A$300,B5)=1,VLOOKUP(B5,'HSP-Abzug 2'!$A$3:$P$301,9,FALSE),"")</f>
        <v>https://resolver.staatsbibliothek-berlin.de/HSP00062F6D00000000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18">
        <f t="shared" si="1"/>
        <v>5</v>
      </c>
      <c r="B6" s="19" t="str">
        <f t="shared" si="2"/>
        <v>Cod. Donaueschingen 68</v>
      </c>
      <c r="C6" s="15">
        <v>68.0</v>
      </c>
      <c r="D6" s="16">
        <v>215.0</v>
      </c>
      <c r="E6" s="20" t="str">
        <f>IF(COUNTIF('HSP-Abzug'!$A$2:$A$300,B6)=1,VLOOKUP(B6,'HSP-Abzug'!$A$3:$L$301,7,FALSE),"")</f>
        <v>HSP-4c50f7dd-8057-3084-b9c7-5b4f0d7bd581</v>
      </c>
      <c r="F6" s="21" t="str">
        <f>IF(COUNTIF('HSP-Abzug'!$A$2:$A$300,B6)=1,VLOOKUP(B6,'HSP-Abzug'!$A$3:$L$301,11,FALSE),"")</f>
        <v>https://resolver.staatsbibliothek-berlin.de/HSP000539F300000000</v>
      </c>
      <c r="G6" s="20" t="str">
        <f>IF(COUNTIF('HSP-Abzug'!$A$2:$A$300,B6)=1,VLOOKUP(B6,'HSP-Abzug'!$A$3:$L$301,10,FALSE),"")</f>
        <v>HSP-1f6f6dfc-9ceb-3701-afec-b08af54b7ba6</v>
      </c>
      <c r="H6" s="21" t="str">
        <f>IF(COUNTIF('HSP-Abzug 2'!$A$2:$A$300,B6)=1,VLOOKUP(B6,'HSP-Abzug 2'!$A$3:$P$301,9,FALSE),"")</f>
        <v>https://resolver.staatsbibliothek-berlin.de/HSP00062F6E00000000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18">
        <f t="shared" si="1"/>
        <v>6</v>
      </c>
      <c r="B7" s="19" t="str">
        <f t="shared" si="2"/>
        <v>Cod. Donaueschingen 70</v>
      </c>
      <c r="C7" s="15">
        <v>70.0</v>
      </c>
      <c r="D7" s="16">
        <v>186.0</v>
      </c>
      <c r="E7" s="20" t="str">
        <f>IF(COUNTIF('HSP-Abzug'!$A$2:$A$300,B7)=1,VLOOKUP(B7,'HSP-Abzug'!$A$3:$L$301,7,FALSE),"")</f>
        <v>HSP-66a860e9-f506-3899-b7ba-74f8a4d35727</v>
      </c>
      <c r="F7" s="21" t="str">
        <f>IF(COUNTIF('HSP-Abzug'!$A$2:$A$300,B7)=1,VLOOKUP(B7,'HSP-Abzug'!$A$3:$L$301,11,FALSE),"")</f>
        <v>https://resolver.staatsbibliothek-berlin.de/HSP000539F500000000</v>
      </c>
      <c r="G7" s="20" t="str">
        <f>IF(COUNTIF('HSP-Abzug'!$A$2:$A$300,B7)=1,VLOOKUP(B7,'HSP-Abzug'!$A$3:$L$301,10,FALSE),"")</f>
        <v>HSP-234d82af-9c75-3e26-8341-55fd9353a0da</v>
      </c>
      <c r="H7" s="21" t="str">
        <f>IF(COUNTIF('HSP-Abzug 2'!$A$2:$A$300,B7)=1,VLOOKUP(B7,'HSP-Abzug 2'!$A$3:$P$301,9,FALSE),"")</f>
        <v>https://resolver.staatsbibliothek-berlin.de/HSP00062F6C00000000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18">
        <f t="shared" si="1"/>
        <v>7</v>
      </c>
      <c r="B8" s="19" t="str">
        <f t="shared" si="2"/>
        <v>Cod. Donaueschingen 72</v>
      </c>
      <c r="C8" s="15">
        <v>72.0</v>
      </c>
      <c r="D8" s="16">
        <v>204.0</v>
      </c>
      <c r="E8" s="20" t="str">
        <f>IF(COUNTIF('HSP-Abzug'!$A$2:$A$300,B8)=1,VLOOKUP(B8,'HSP-Abzug'!$A$3:$L$301,7,FALSE),"")</f>
        <v>HSP-e8db0dc3-52f6-33c6-93e7-7d0b61b0c1a6</v>
      </c>
      <c r="F8" s="21" t="str">
        <f>IF(COUNTIF('HSP-Abzug'!$A$2:$A$300,B8)=1,VLOOKUP(B8,'HSP-Abzug'!$A$3:$L$301,11,FALSE),"")</f>
        <v>https://resolver.staatsbibliothek-berlin.de/HSP000539F700000000</v>
      </c>
      <c r="G8" s="20" t="str">
        <f>IF(COUNTIF('HSP-Abzug'!$A$2:$A$300,B8)=1,VLOOKUP(B8,'HSP-Abzug'!$A$3:$L$301,10,FALSE),"")</f>
        <v>HSP-2d1c8fb8-08bc-3a84-bf47-1c4846908512</v>
      </c>
      <c r="H8" s="21" t="str">
        <f>IF(COUNTIF('HSP-Abzug 2'!$A$2:$A$300,B8)=1,VLOOKUP(B8,'HSP-Abzug 2'!$A$3:$P$301,9,FALSE),"")</f>
        <v>https://resolver.staatsbibliothek-berlin.de/HSP00062F6F00000000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18">
        <f t="shared" si="1"/>
        <v>8</v>
      </c>
      <c r="B9" s="19" t="str">
        <f t="shared" si="2"/>
        <v>Cod. Donaueschingen 73</v>
      </c>
      <c r="C9" s="15">
        <v>73.0</v>
      </c>
      <c r="D9" s="16">
        <v>176.0</v>
      </c>
      <c r="E9" s="20" t="str">
        <f>IF(COUNTIF('HSP-Abzug'!$A$2:$A$300,B9)=1,VLOOKUP(B9,'HSP-Abzug'!$A$3:$L$301,7,FALSE),"")</f>
        <v>HSP-76153bee-8501-3630-93c1-aa943f85ba68</v>
      </c>
      <c r="F9" s="21" t="str">
        <f>IF(COUNTIF('HSP-Abzug'!$A$2:$A$300,B9)=1,VLOOKUP(B9,'HSP-Abzug'!$A$3:$L$301,11,FALSE),"")</f>
        <v>https://resolver.staatsbibliothek-berlin.de/HSP000539F800000000</v>
      </c>
      <c r="G9" s="20" t="str">
        <f>IF(COUNTIF('HSP-Abzug'!$A$2:$A$300,B9)=1,VLOOKUP(B9,'HSP-Abzug'!$A$3:$L$301,10,FALSE),"")</f>
        <v>HSP-986fc6fc-f5ec-31c3-92f5-fec7ddca08ac</v>
      </c>
      <c r="H9" s="21" t="str">
        <f>IF(COUNTIF('HSP-Abzug 2'!$A$2:$A$300,B9)=1,VLOOKUP(B9,'HSP-Abzug 2'!$A$3:$P$301,9,FALSE),"")</f>
        <v>https://resolver.staatsbibliothek-berlin.de/HSP00062F6200000000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18">
        <f t="shared" si="1"/>
        <v>9</v>
      </c>
      <c r="B10" s="19" t="str">
        <f t="shared" si="2"/>
        <v>Cod. Donaueschingen 74</v>
      </c>
      <c r="C10" s="15">
        <v>74.0</v>
      </c>
      <c r="D10" s="16">
        <v>175.0</v>
      </c>
      <c r="E10" s="20" t="str">
        <f>IF(COUNTIF('HSP-Abzug'!$A$2:$A$300,B10)=1,VLOOKUP(B10,'HSP-Abzug'!$A$3:$L$301,7,FALSE),"")</f>
        <v>HSP-58bc2371-1364-31bf-b940-2959267f60ab</v>
      </c>
      <c r="F10" s="21" t="str">
        <f>IF(COUNTIF('HSP-Abzug'!$A$2:$A$300,B10)=1,VLOOKUP(B10,'HSP-Abzug'!$A$3:$L$301,11,FALSE),"")</f>
        <v>https://resolver.staatsbibliothek-berlin.de/HSP000539F900000000</v>
      </c>
      <c r="G10" s="20" t="str">
        <f>IF(COUNTIF('HSP-Abzug'!$A$2:$A$300,B10)=1,VLOOKUP(B10,'HSP-Abzug'!$A$3:$L$301,10,FALSE),"")</f>
        <v>HSP-cc78152f-8987-354e-9903-1e65dc9e41e2</v>
      </c>
      <c r="H10" s="21" t="str">
        <f>IF(COUNTIF('HSP-Abzug 2'!$A$2:$A$300,B10)=1,VLOOKUP(B10,'HSP-Abzug 2'!$A$3:$P$301,9,FALSE),"")</f>
        <v>https://resolver.staatsbibliothek-berlin.de/HSP00062F8F00000000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18">
        <f t="shared" si="1"/>
        <v>10</v>
      </c>
      <c r="B11" s="19" t="str">
        <f t="shared" si="2"/>
        <v>Cod. Donaueschingen 75a</v>
      </c>
      <c r="C11" s="15" t="s">
        <v>424</v>
      </c>
      <c r="D11" s="16">
        <v>221.0</v>
      </c>
      <c r="E11" s="20" t="str">
        <f>IF(COUNTIF('HSP-Abzug'!$A$2:$A$300,B11)=1,VLOOKUP(B11,'HSP-Abzug'!$A$3:$L$301,7,FALSE),"")</f>
        <v>HSP-01aad6fa-006e-363e-a1d0-1e45cf1981cb</v>
      </c>
      <c r="F11" s="21" t="str">
        <f>IF(COUNTIF('HSP-Abzug'!$A$2:$A$300,B11)=1,VLOOKUP(B11,'HSP-Abzug'!$A$3:$L$301,11,FALSE),"")</f>
        <v>https://resolver.staatsbibliothek-berlin.de/HSP000539FA00000000</v>
      </c>
      <c r="G11" s="20" t="str">
        <f>IF(COUNTIF('HSP-Abzug'!$A$2:$A$300,B11)=1,VLOOKUP(B11,'HSP-Abzug'!$A$3:$L$301,10,FALSE),"")</f>
        <v>HSP-f4e6bbdb-89b6-32f6-98a5-34c29343f548</v>
      </c>
      <c r="H11" s="21" t="str">
        <f>IF(COUNTIF('HSP-Abzug 2'!$A$2:$A$300,B11)=1,VLOOKUP(B11,'HSP-Abzug 2'!$A$3:$P$301,9,FALSE),"")</f>
        <v>https://resolver.staatsbibliothek-berlin.de/HSP00062F7100000000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18">
        <f t="shared" si="1"/>
        <v>11</v>
      </c>
      <c r="B12" s="19" t="str">
        <f t="shared" si="2"/>
        <v>Cod. Donaueschingen 75b</v>
      </c>
      <c r="C12" s="15" t="s">
        <v>442</v>
      </c>
      <c r="D12" s="16" t="s">
        <v>37</v>
      </c>
      <c r="E12" s="20" t="str">
        <f>IF(COUNTIF('HSP-Abzug'!$A$2:$A$300,B12)=1,VLOOKUP(B12,'HSP-Abzug'!$A$3:$L$301,7,FALSE),"")</f>
        <v>HSP-d6b6f250-4558-3188-b685-f16e8557de8e</v>
      </c>
      <c r="F12" s="21" t="str">
        <f>IF(COUNTIF('HSP-Abzug'!$A$2:$A$300,B12)=1,VLOOKUP(B12,'HSP-Abzug'!$A$3:$L$301,11,FALSE),"")</f>
        <v>https://resolver.staatsbibliothek-berlin.de/HSP000539FB00000000</v>
      </c>
      <c r="G12" s="20" t="str">
        <f>IF(COUNTIF('HSP-Abzug'!$A$2:$A$300,B12)=1,VLOOKUP(B12,'HSP-Abzug'!$A$3:$L$301,10,FALSE),"")</f>
        <v>HSP-f7197a77-3ccf-34d0-84cb-8bddaf7fb4d7</v>
      </c>
      <c r="H12" s="21" t="str">
        <f>IF(COUNTIF('HSP-Abzug 2'!$A$2:$A$300,B12)=1,VLOOKUP(B12,'HSP-Abzug 2'!$A$3:$P$301,9,FALSE),"")</f>
        <v>https://resolver.staatsbibliothek-berlin.de/HSP00062F7200000000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18">
        <f t="shared" si="1"/>
        <v>12</v>
      </c>
      <c r="B13" s="19" t="str">
        <f t="shared" si="2"/>
        <v>Cod. Donaueschingen 76</v>
      </c>
      <c r="C13" s="15">
        <v>76.0</v>
      </c>
      <c r="D13" s="16" t="s">
        <v>37</v>
      </c>
      <c r="E13" s="20" t="str">
        <f>IF(COUNTIF('HSP-Abzug'!$A$2:$A$300,B13)=1,VLOOKUP(B13,'HSP-Abzug'!$A$3:$L$301,7,FALSE),"")</f>
        <v>HSP-d1cea0b6-1d48-38ef-b142-f476fe3dfe75</v>
      </c>
      <c r="F13" s="21" t="str">
        <f>IF(COUNTIF('HSP-Abzug'!$A$2:$A$300,B13)=1,VLOOKUP(B13,'HSP-Abzug'!$A$3:$L$301,11,FALSE),"")</f>
        <v>https://resolver.staatsbibliothek-berlin.de/HSP000539FC00000000</v>
      </c>
      <c r="G13" s="20" t="str">
        <f>IF(COUNTIF('HSP-Abzug'!$A$2:$A$300,B13)=1,VLOOKUP(B13,'HSP-Abzug'!$A$3:$L$301,10,FALSE),"")</f>
        <v>HSP-7a45f8ab-42a9-3a3a-8c23-921b31725ac7</v>
      </c>
      <c r="H13" s="21" t="str">
        <f>IF(COUNTIF('HSP-Abzug 2'!$A$2:$A$300,B13)=1,VLOOKUP(B13,'HSP-Abzug 2'!$A$3:$P$301,9,FALSE),"")</f>
        <v>https://resolver.staatsbibliothek-berlin.de/HSP00062F7000000000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18">
        <f t="shared" si="1"/>
        <v>13</v>
      </c>
      <c r="B14" s="19" t="str">
        <f t="shared" si="2"/>
        <v>Cod. Donaueschingen 77</v>
      </c>
      <c r="C14" s="15">
        <v>77.0</v>
      </c>
      <c r="D14" s="16">
        <v>179.0</v>
      </c>
      <c r="E14" s="20" t="str">
        <f>IF(COUNTIF('HSP-Abzug'!$A$2:$A$300,B14)=1,VLOOKUP(B14,'HSP-Abzug'!$A$3:$L$301,7,FALSE),"")</f>
        <v>HSP-5c995ce7-c173-37ac-a5b4-2f05414e1fbd</v>
      </c>
      <c r="F14" s="21" t="str">
        <f>IF(COUNTIF('HSP-Abzug'!$A$2:$A$300,B14)=1,VLOOKUP(B14,'HSP-Abzug'!$A$3:$L$301,11,FALSE),"")</f>
        <v>https://resolver.staatsbibliothek-berlin.de/HSP000539FE00000000</v>
      </c>
      <c r="G14" s="20" t="str">
        <f>IF(COUNTIF('HSP-Abzug'!$A$2:$A$300,B14)=1,VLOOKUP(B14,'HSP-Abzug'!$A$3:$L$301,10,FALSE),"")</f>
        <v>HSP-d77acc6a-9c7d-30d3-ab68-f0722882a7f6</v>
      </c>
      <c r="H14" s="21" t="str">
        <f>IF(COUNTIF('HSP-Abzug 2'!$A$2:$A$300,B14)=1,VLOOKUP(B14,'HSP-Abzug 2'!$A$3:$P$301,9,FALSE),"")</f>
        <v>https://resolver.staatsbibliothek-berlin.de/HSP00062F9C00000000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18">
        <f t="shared" si="1"/>
        <v>14</v>
      </c>
      <c r="B15" s="19" t="str">
        <f t="shared" si="2"/>
        <v>Cod. Donaueschingen 82</v>
      </c>
      <c r="C15" s="15">
        <v>82.0</v>
      </c>
      <c r="D15" s="16" t="s">
        <v>538</v>
      </c>
      <c r="E15" s="20" t="str">
        <f>IF(COUNTIF('HSP-Abzug'!$A$2:$A$300,B15)=1,VLOOKUP(B15,'HSP-Abzug'!$A$3:$L$301,7,FALSE),"")</f>
        <v>HSP-7ecb5382-7f93-39c9-b79c-81638bfa2791</v>
      </c>
      <c r="F15" s="21" t="str">
        <f>IF(COUNTIF('HSP-Abzug'!$A$2:$A$300,B15)=1,VLOOKUP(B15,'HSP-Abzug'!$A$3:$L$301,11,FALSE),"")</f>
        <v>https://resolver.staatsbibliothek-berlin.de/HSP00053A0400000000</v>
      </c>
      <c r="G15" s="20" t="str">
        <f>IF(COUNTIF('HSP-Abzug'!$A$2:$A$300,B15)=1,VLOOKUP(B15,'HSP-Abzug'!$A$3:$L$301,10,FALSE),"")</f>
        <v>HSP-3cd2b544-4afc-3731-ab21-049c0af76415</v>
      </c>
      <c r="H15" s="21" t="str">
        <f>IF(COUNTIF('HSP-Abzug 2'!$A$2:$A$300,B15)=1,VLOOKUP(B15,'HSP-Abzug 2'!$A$3:$P$301,9,FALSE),"")</f>
        <v>https://resolver.staatsbibliothek-berlin.de/HSP00062F9F00000000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18">
        <f t="shared" si="1"/>
        <v>15</v>
      </c>
      <c r="B16" s="19" t="str">
        <f t="shared" si="2"/>
        <v>Cod. Donaueschingen 83</v>
      </c>
      <c r="C16" s="15">
        <v>83.0</v>
      </c>
      <c r="D16" s="16">
        <v>211.0</v>
      </c>
      <c r="E16" s="20" t="str">
        <f>IF(COUNTIF('HSP-Abzug'!$A$2:$A$300,B16)=1,VLOOKUP(B16,'HSP-Abzug'!$A$3:$L$301,7,FALSE),"")</f>
        <v>HSP-4f4b23e7-5199-3d31-9505-d81bfa27f08d</v>
      </c>
      <c r="F16" s="21" t="str">
        <f>IF(COUNTIF('HSP-Abzug'!$A$2:$A$300,B16)=1,VLOOKUP(B16,'HSP-Abzug'!$A$3:$L$301,11,FALSE),"")</f>
        <v>https://resolver.staatsbibliothek-berlin.de/HSP00053A0500000000</v>
      </c>
      <c r="G16" s="20" t="str">
        <f>IF(COUNTIF('HSP-Abzug'!$A$2:$A$300,B16)=1,VLOOKUP(B16,'HSP-Abzug'!$A$3:$L$301,10,FALSE),"")</f>
        <v>HSP-3012bdfa-0312-398d-b3d0-0f1c536fee5d</v>
      </c>
      <c r="H16" s="21" t="str">
        <f>IF(COUNTIF('HSP-Abzug 2'!$A$2:$A$300,B16)=1,VLOOKUP(B16,'HSP-Abzug 2'!$A$3:$P$301,9,FALSE),"")</f>
        <v>https://resolver.staatsbibliothek-berlin.de/HSP00062F7500000000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18">
        <f t="shared" si="1"/>
        <v>16</v>
      </c>
      <c r="B17" s="19" t="str">
        <f t="shared" si="2"/>
        <v>Cod. Donaueschingen 84</v>
      </c>
      <c r="C17" s="15">
        <v>84.0</v>
      </c>
      <c r="D17" s="16">
        <v>212.0</v>
      </c>
      <c r="E17" s="20" t="str">
        <f>IF(COUNTIF('HSP-Abzug'!$A$2:$A$300,B17)=1,VLOOKUP(B17,'HSP-Abzug'!$A$3:$L$301,7,FALSE),"")</f>
        <v>HSP-b7ae5441-aba8-3301-9b51-abc890acf22a</v>
      </c>
      <c r="F17" s="21" t="str">
        <f>IF(COUNTIF('HSP-Abzug'!$A$2:$A$300,B17)=1,VLOOKUP(B17,'HSP-Abzug'!$A$3:$L$301,11,FALSE),"")</f>
        <v>https://resolver.staatsbibliothek-berlin.de/HSP00053A0600000000</v>
      </c>
      <c r="G17" s="20" t="str">
        <f>IF(COUNTIF('HSP-Abzug'!$A$2:$A$300,B17)=1,VLOOKUP(B17,'HSP-Abzug'!$A$3:$L$301,10,FALSE),"")</f>
        <v>HSP-814affe4-9167-36e6-af0d-d2a7ef0877cb</v>
      </c>
      <c r="H17" s="21" t="str">
        <f>IF(COUNTIF('HSP-Abzug 2'!$A$2:$A$300,B17)=1,VLOOKUP(B17,'HSP-Abzug 2'!$A$3:$P$301,9,FALSE),"")</f>
        <v>https://resolver.staatsbibliothek-berlin.de/HSP00062F7700000000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18">
        <f t="shared" si="1"/>
        <v>17</v>
      </c>
      <c r="B18" s="19" t="str">
        <f t="shared" si="2"/>
        <v>Cod. Donaueschingen 88</v>
      </c>
      <c r="C18" s="15">
        <v>88.0</v>
      </c>
      <c r="D18" s="16">
        <v>218.0</v>
      </c>
      <c r="E18" s="20" t="str">
        <f>IF(COUNTIF('HSP-Abzug'!$A$2:$A$300,B18)=1,VLOOKUP(B18,'HSP-Abzug'!$A$3:$L$301,7,FALSE),"")</f>
        <v>HSP-2176ef14-2e51-3ac4-b9c2-c9e4b1bb363c</v>
      </c>
      <c r="F18" s="21" t="str">
        <f>IF(COUNTIF('HSP-Abzug'!$A$2:$A$300,B18)=1,VLOOKUP(B18,'HSP-Abzug'!$A$3:$L$301,11,FALSE),"")</f>
        <v>https://resolver.staatsbibliothek-berlin.de/HSP00053A0A00000000</v>
      </c>
      <c r="G18" s="20" t="str">
        <f>IF(COUNTIF('HSP-Abzug'!$A$2:$A$300,B18)=1,VLOOKUP(B18,'HSP-Abzug'!$A$3:$L$301,10,FALSE),"")</f>
        <v>HSP-84b2ca17-b9f0-3d26-b39a-10ad6caec7ca</v>
      </c>
      <c r="H18" s="21" t="str">
        <f>IF(COUNTIF('HSP-Abzug 2'!$A$2:$A$300,B18)=1,VLOOKUP(B18,'HSP-Abzug 2'!$A$3:$P$301,9,FALSE),"")</f>
        <v>https://resolver.staatsbibliothek-berlin.de/HSP00062F7600000000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18">
        <f t="shared" si="1"/>
        <v>18</v>
      </c>
      <c r="B19" s="19" t="str">
        <f t="shared" si="2"/>
        <v>Cod. Donaueschingen 89</v>
      </c>
      <c r="C19" s="15">
        <v>89.0</v>
      </c>
      <c r="D19" s="16" t="s">
        <v>37</v>
      </c>
      <c r="E19" s="20" t="str">
        <f>IF(COUNTIF('HSP-Abzug'!$A$2:$A$300,B19)=1,VLOOKUP(B19,'HSP-Abzug'!$A$3:$L$301,7,FALSE),"")</f>
        <v>HSP-59eeb9ec-c6ed-308d-9e50-c1d4d1fe0c83</v>
      </c>
      <c r="F19" s="21" t="str">
        <f>IF(COUNTIF('HSP-Abzug'!$A$2:$A$300,B19)=1,VLOOKUP(B19,'HSP-Abzug'!$A$3:$L$301,11,FALSE),"")</f>
        <v>https://resolver.staatsbibliothek-berlin.de/HSP00053A0B00000000</v>
      </c>
      <c r="G19" s="20" t="str">
        <f>IF(COUNTIF('HSP-Abzug'!$A$2:$A$300,B19)=1,VLOOKUP(B19,'HSP-Abzug'!$A$3:$L$301,10,FALSE),"")</f>
        <v>HSP-73f35cce-6dbb-3eb2-a79b-48fee3bcf222</v>
      </c>
      <c r="H19" s="21" t="str">
        <f>IF(COUNTIF('HSP-Abzug 2'!$A$2:$A$300,B19)=1,VLOOKUP(B19,'HSP-Abzug 2'!$A$3:$P$301,9,FALSE),"")</f>
        <v>https://resolver.staatsbibliothek-berlin.de/HSP00062F7A00000000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18">
        <f t="shared" si="1"/>
        <v>19</v>
      </c>
      <c r="B20" s="19" t="str">
        <f t="shared" si="2"/>
        <v>Cod. Donaueschingen 92</v>
      </c>
      <c r="C20" s="15">
        <v>92.0</v>
      </c>
      <c r="D20" s="16">
        <v>190.0</v>
      </c>
      <c r="E20" s="20" t="str">
        <f>IF(COUNTIF('HSP-Abzug'!$A$2:$A$300,B20)=1,VLOOKUP(B20,'HSP-Abzug'!$A$3:$L$301,7,FALSE),"")</f>
        <v>HSP-8df42ad4-2ba9-3daf-a420-8625cd037ac7</v>
      </c>
      <c r="F20" s="21" t="str">
        <f>IF(COUNTIF('HSP-Abzug'!$A$2:$A$300,B20)=1,VLOOKUP(B20,'HSP-Abzug'!$A$3:$L$301,11,FALSE),"")</f>
        <v>https://resolver.staatsbibliothek-berlin.de/HSP00053A0E00000000</v>
      </c>
      <c r="G20" s="20" t="str">
        <f>IF(COUNTIF('HSP-Abzug'!$A$2:$A$300,B20)=1,VLOOKUP(B20,'HSP-Abzug'!$A$3:$L$301,10,FALSE),"")</f>
        <v>HSP-854947fb-e7de-32d1-8431-ae6afc0591bd</v>
      </c>
      <c r="H20" s="21" t="str">
        <f>IF(COUNTIF('HSP-Abzug 2'!$A$2:$A$300,B20)=1,VLOOKUP(B20,'HSP-Abzug 2'!$A$3:$P$301,9,FALSE),"")</f>
        <v>https://resolver.staatsbibliothek-berlin.de/HSP00062FAC00000000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18">
        <f t="shared" si="1"/>
        <v>20</v>
      </c>
      <c r="B21" s="19" t="str">
        <f t="shared" si="2"/>
        <v>Cod. Donaueschingen 95</v>
      </c>
      <c r="C21" s="15">
        <v>95.0</v>
      </c>
      <c r="D21" s="16">
        <v>214.0</v>
      </c>
      <c r="E21" s="20" t="str">
        <f>IF(COUNTIF('HSP-Abzug'!$A$2:$A$300,B21)=1,VLOOKUP(B21,'HSP-Abzug'!$A$3:$L$301,7,FALSE),"")</f>
        <v>HSP-9bff85dc-55e4-31cb-8cde-2ae62e8d3ebc</v>
      </c>
      <c r="F21" s="21" t="str">
        <f>IF(COUNTIF('HSP-Abzug'!$A$2:$A$300,B21)=1,VLOOKUP(B21,'HSP-Abzug'!$A$3:$L$301,11,FALSE),"")</f>
        <v>https://resolver.staatsbibliothek-berlin.de/HSP00053A1100000000</v>
      </c>
      <c r="G21" s="20" t="str">
        <f>IF(COUNTIF('HSP-Abzug'!$A$2:$A$300,B21)=1,VLOOKUP(B21,'HSP-Abzug'!$A$3:$L$301,10,FALSE),"")</f>
        <v>HSP-5679c19f-1d18-3205-bf65-d88474dc14b3</v>
      </c>
      <c r="H21" s="21" t="str">
        <f>IF(COUNTIF('HSP-Abzug 2'!$A$2:$A$300,B21)=1,VLOOKUP(B21,'HSP-Abzug 2'!$A$3:$P$301,9,FALSE),"")</f>
        <v>https://resolver.staatsbibliothek-berlin.de/HSP00062FB000000000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18">
        <f t="shared" si="1"/>
        <v>21</v>
      </c>
      <c r="B22" s="19" t="str">
        <f t="shared" si="2"/>
        <v>Cod. Donaueschingen 104</v>
      </c>
      <c r="C22" s="15">
        <v>104.0</v>
      </c>
      <c r="D22" s="16">
        <v>177.0</v>
      </c>
      <c r="E22" s="20" t="str">
        <f>IF(COUNTIF('HSP-Abzug'!$A$2:$A$300,B22)=1,VLOOKUP(B22,'HSP-Abzug'!$A$3:$L$301,7,FALSE),"")</f>
        <v>HSP-96a15530-bf95-375e-a6a9-e34efb79e8fb</v>
      </c>
      <c r="F22" s="21" t="str">
        <f>IF(COUNTIF('HSP-Abzug'!$A$2:$A$300,B22)=1,VLOOKUP(B22,'HSP-Abzug'!$A$3:$L$301,11,FALSE),"")</f>
        <v>https://resolver.staatsbibliothek-berlin.de/HSP0005398400000000</v>
      </c>
      <c r="G22" s="20" t="str">
        <f>IF(COUNTIF('HSP-Abzug'!$A$2:$A$300,B22)=1,VLOOKUP(B22,'HSP-Abzug'!$A$3:$L$301,10,FALSE),"")</f>
        <v>HSP-11d6b533-63f3-36bd-91aa-4a8d5ef766fd</v>
      </c>
      <c r="H22" s="21" t="str">
        <f>IF(COUNTIF('HSP-Abzug 2'!$A$2:$A$300,B22)=1,VLOOKUP(B22,'HSP-Abzug 2'!$A$3:$P$301,9,FALSE),"")</f>
        <v>https://resolver.staatsbibliothek-berlin.de/HSP00062F5100000000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18">
        <f t="shared" si="1"/>
        <v>22</v>
      </c>
      <c r="B23" s="19" t="str">
        <f t="shared" si="2"/>
        <v>Cod. Donaueschingen 105a</v>
      </c>
      <c r="C23" s="15" t="s">
        <v>738</v>
      </c>
      <c r="D23" s="16">
        <v>202.0</v>
      </c>
      <c r="E23" s="20" t="str">
        <f>IF(COUNTIF('HSP-Abzug'!$A$2:$A$300,B23)=1,VLOOKUP(B23,'HSP-Abzug'!$A$3:$L$301,7,FALSE),"")</f>
        <v>HSP-b03c17a8-959d-34aa-87be-d2a332e55ed1</v>
      </c>
      <c r="F23" s="21" t="str">
        <f>IF(COUNTIF('HSP-Abzug'!$A$2:$A$300,B23)=1,VLOOKUP(B23,'HSP-Abzug'!$A$3:$L$301,11,FALSE),"")</f>
        <v>https://resolver.staatsbibliothek-berlin.de/HSP0005398500000000</v>
      </c>
      <c r="G23" s="20" t="str">
        <f>IF(COUNTIF('HSP-Abzug'!$A$2:$A$300,B23)=1,VLOOKUP(B23,'HSP-Abzug'!$A$3:$L$301,10,FALSE),"")</f>
        <v>HSP-84d08aa6-8229-32ce-87e8-19c70287dd6d</v>
      </c>
      <c r="H23" s="21" t="str">
        <f>IF(COUNTIF('HSP-Abzug 2'!$A$2:$A$300,B23)=1,VLOOKUP(B23,'HSP-Abzug 2'!$A$3:$P$301,9,FALSE),"")</f>
        <v>https://resolver.staatsbibliothek-berlin.de/HSP00062F9B00000000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18">
        <f t="shared" si="1"/>
        <v>23</v>
      </c>
      <c r="B24" s="19" t="str">
        <f t="shared" si="2"/>
        <v>Cod. Donaueschingen 105b</v>
      </c>
      <c r="C24" s="15" t="s">
        <v>748</v>
      </c>
      <c r="D24" s="16">
        <v>202.0</v>
      </c>
      <c r="E24" s="20" t="str">
        <f>IF(COUNTIF('HSP-Abzug'!$A$2:$A$300,B24)=1,VLOOKUP(B24,'HSP-Abzug'!$A$3:$L$301,7,FALSE),"")</f>
        <v>HSP-123c157d-d700-3442-abb2-41352424f203</v>
      </c>
      <c r="F24" s="21" t="str">
        <f>IF(COUNTIF('HSP-Abzug'!$A$2:$A$300,B24)=1,VLOOKUP(B24,'HSP-Abzug'!$A$3:$L$301,11,FALSE),"")</f>
        <v>https://resolver.staatsbibliothek-berlin.de/HSP0005398600000000</v>
      </c>
      <c r="G24" s="20" t="str">
        <f>IF(COUNTIF('HSP-Abzug'!$A$2:$A$300,B24)=1,VLOOKUP(B24,'HSP-Abzug'!$A$3:$L$301,10,FALSE),"")</f>
        <v>HSP-0f117a9f-b856-3a17-a424-4c15bc3ac4b3</v>
      </c>
      <c r="H24" s="21" t="str">
        <f>IF(COUNTIF('HSP-Abzug 2'!$A$2:$A$300,B24)=1,VLOOKUP(B24,'HSP-Abzug 2'!$A$3:$P$301,9,FALSE),"")</f>
        <v>https://resolver.staatsbibliothek-berlin.de/HSP00062F9A00000000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18">
        <f t="shared" si="1"/>
        <v>24</v>
      </c>
      <c r="B25" s="19" t="str">
        <f t="shared" si="2"/>
        <v>Cod. Donaueschingen 105c</v>
      </c>
      <c r="C25" s="15" t="s">
        <v>766</v>
      </c>
      <c r="D25" s="16">
        <v>202.0</v>
      </c>
      <c r="E25" s="20" t="str">
        <f>IF(COUNTIF('HSP-Abzug'!$A$2:$A$300,B25)=1,VLOOKUP(B25,'HSP-Abzug'!$A$3:$L$301,7,FALSE),"")</f>
        <v>HSP-9d4c8ee0-be22-3b58-b547-534bc8c94b60</v>
      </c>
      <c r="F25" s="21" t="str">
        <f>IF(COUNTIF('HSP-Abzug'!$A$2:$A$300,B25)=1,VLOOKUP(B25,'HSP-Abzug'!$A$3:$L$301,11,FALSE),"")</f>
        <v>https://resolver.staatsbibliothek-berlin.de/HSP0005398700000000</v>
      </c>
      <c r="G25" s="20" t="str">
        <f>IF(COUNTIF('HSP-Abzug'!$A$2:$A$300,B25)=1,VLOOKUP(B25,'HSP-Abzug'!$A$3:$L$301,10,FALSE),"")</f>
        <v>HSP-919868b3-5792-34bb-91e0-9a299321870b</v>
      </c>
      <c r="H25" s="21" t="str">
        <f>IF(COUNTIF('HSP-Abzug 2'!$A$2:$A$300,B25)=1,VLOOKUP(B25,'HSP-Abzug 2'!$A$3:$P$301,9,FALSE),"")</f>
        <v>https://resolver.staatsbibliothek-berlin.de/HSP00062F9D00000000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18">
        <f t="shared" si="1"/>
        <v>25</v>
      </c>
      <c r="B26" s="19" t="str">
        <f t="shared" si="2"/>
        <v>Cod. Donaueschingen 106</v>
      </c>
      <c r="C26" s="15">
        <v>106.0</v>
      </c>
      <c r="D26" s="16" t="s">
        <v>779</v>
      </c>
      <c r="E26" s="20" t="str">
        <f>IF(COUNTIF('HSP-Abzug'!$A$2:$A$300,B26)=1,VLOOKUP(B26,'HSP-Abzug'!$A$3:$L$301,7,FALSE),"")</f>
        <v>HSP-6c930a96-775e-3a48-80e6-596a1db0e274</v>
      </c>
      <c r="F26" s="21" t="str">
        <f>IF(COUNTIF('HSP-Abzug'!$A$2:$A$300,B26)=1,VLOOKUP(B26,'HSP-Abzug'!$A$3:$L$301,11,FALSE),"")</f>
        <v>https://resolver.staatsbibliothek-berlin.de/HSP0005398800000000</v>
      </c>
      <c r="G26" s="20" t="str">
        <f>IF(COUNTIF('HSP-Abzug'!$A$2:$A$300,B26)=1,VLOOKUP(B26,'HSP-Abzug'!$A$3:$L$301,10,FALSE),"")</f>
        <v>HSP-316cca2d-b0da-367e-9c40-dccd11c95baf</v>
      </c>
      <c r="H26" s="21" t="str">
        <f>IF(COUNTIF('HSP-Abzug 2'!$A$2:$A$300,B26)=1,VLOOKUP(B26,'HSP-Abzug 2'!$A$3:$P$301,9,FALSE),"")</f>
        <v>https://resolver.staatsbibliothek-berlin.de/HSP00062F5200000000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18">
        <f t="shared" si="1"/>
        <v>26</v>
      </c>
      <c r="B27" s="19" t="str">
        <f t="shared" si="2"/>
        <v>Cod. Donaueschingen 107</v>
      </c>
      <c r="C27" s="15">
        <v>107.0</v>
      </c>
      <c r="D27" s="16">
        <v>181.0</v>
      </c>
      <c r="E27" s="20" t="str">
        <f>IF(COUNTIF('HSP-Abzug'!$A$2:$A$300,B27)=1,VLOOKUP(B27,'HSP-Abzug'!$A$3:$L$301,7,FALSE),"")</f>
        <v>HSP-8b29460e-0e02-3c1a-962d-7ffaf070b7f4</v>
      </c>
      <c r="F27" s="21" t="str">
        <f>IF(COUNTIF('HSP-Abzug'!$A$2:$A$300,B27)=1,VLOOKUP(B27,'HSP-Abzug'!$A$3:$L$301,11,FALSE),"")</f>
        <v>https://resolver.staatsbibliothek-berlin.de/HSP0005398900000000</v>
      </c>
      <c r="G27" s="20" t="str">
        <f>IF(COUNTIF('HSP-Abzug'!$A$2:$A$300,B27)=1,VLOOKUP(B27,'HSP-Abzug'!$A$3:$L$301,10,FALSE),"")</f>
        <v>HSP-020577c8-bfe2-34eb-92fa-34d5e83b354e</v>
      </c>
      <c r="H27" s="21" t="str">
        <f>IF(COUNTIF('HSP-Abzug 2'!$A$2:$A$300,B27)=1,VLOOKUP(B27,'HSP-Abzug 2'!$A$3:$P$301,9,FALSE),"")</f>
        <v>https://resolver.staatsbibliothek-berlin.de/HSP00062F5900000000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18">
        <f t="shared" si="1"/>
        <v>27</v>
      </c>
      <c r="B28" s="19" t="str">
        <f t="shared" si="2"/>
        <v>Cod. Donaueschingen 109</v>
      </c>
      <c r="C28" s="15">
        <v>109.0</v>
      </c>
      <c r="D28" s="16">
        <v>195.0</v>
      </c>
      <c r="E28" s="20" t="str">
        <f>IF(COUNTIF('HSP-Abzug'!$A$2:$A$300,B28)=1,VLOOKUP(B28,'HSP-Abzug'!$A$3:$L$301,7,FALSE),"")</f>
        <v>HSP-d82573c4-e0c7-37dc-9208-ed9ee10f245d</v>
      </c>
      <c r="F28" s="21" t="str">
        <f>IF(COUNTIF('HSP-Abzug'!$A$2:$A$300,B28)=1,VLOOKUP(B28,'HSP-Abzug'!$A$3:$L$301,11,FALSE),"")</f>
        <v>https://resolver.staatsbibliothek-berlin.de/HSP0005398B00000000</v>
      </c>
      <c r="G28" s="20" t="str">
        <f>IF(COUNTIF('HSP-Abzug'!$A$2:$A$300,B28)=1,VLOOKUP(B28,'HSP-Abzug'!$A$3:$L$301,10,FALSE),"")</f>
        <v>HSP-6eed1555-f5e0-3504-9c7d-d8531e1ef34c</v>
      </c>
      <c r="H28" s="21" t="str">
        <f>IF(COUNTIF('HSP-Abzug 2'!$A$2:$A$300,B28)=1,VLOOKUP(B28,'HSP-Abzug 2'!$A$3:$P$301,9,FALSE),"")</f>
        <v>https://resolver.staatsbibliothek-berlin.de/HSP00062F5C00000000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18">
        <f t="shared" si="1"/>
        <v>28</v>
      </c>
      <c r="B29" s="19" t="str">
        <f t="shared" si="2"/>
        <v>Cod. Donaueschingen 110</v>
      </c>
      <c r="C29" s="15">
        <v>110.0</v>
      </c>
      <c r="D29" s="16">
        <v>87.0</v>
      </c>
      <c r="E29" s="20" t="str">
        <f>IF(COUNTIF('HSP-Abzug'!$A$2:$A$300,B29)=1,VLOOKUP(B29,'HSP-Abzug'!$A$3:$L$301,7,FALSE),"")</f>
        <v>HSP-2b779d49-b34a-3564-8e04-65a09a82b257</v>
      </c>
      <c r="F29" s="21" t="str">
        <f>IF(COUNTIF('HSP-Abzug'!$A$2:$A$300,B29)=1,VLOOKUP(B29,'HSP-Abzug'!$A$3:$L$301,11,FALSE),"")</f>
        <v>https://resolver.staatsbibliothek-berlin.de/HSP0005398D00000000</v>
      </c>
      <c r="G29" s="20" t="str">
        <f>IF(COUNTIF('HSP-Abzug'!$A$2:$A$300,B29)=1,VLOOKUP(B29,'HSP-Abzug'!$A$3:$L$301,10,FALSE),"")</f>
        <v>HSP-b7624685-1c27-3826-9d46-55ff9b0d50c7</v>
      </c>
      <c r="H29" s="21" t="str">
        <f>IF(COUNTIF('HSP-Abzug 2'!$A$2:$A$300,B29)=1,VLOOKUP(B29,'HSP-Abzug 2'!$A$3:$P$301,9,FALSE),"")</f>
        <v>https://resolver.staatsbibliothek-berlin.de/HSP00062FA200000000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18">
        <f t="shared" si="1"/>
        <v>29</v>
      </c>
      <c r="B30" s="19" t="str">
        <f t="shared" si="2"/>
        <v>Cod. Donaueschingen 111a</v>
      </c>
      <c r="C30" s="15" t="s">
        <v>856</v>
      </c>
      <c r="D30" s="16" t="s">
        <v>858</v>
      </c>
      <c r="E30" s="20" t="str">
        <f>IF(COUNTIF('HSP-Abzug'!$A$2:$A$300,B30)=1,VLOOKUP(B30,'HSP-Abzug'!$A$3:$L$301,7,FALSE),"")</f>
        <v>HSP-c6afe163-f032-3b3f-a586-6cbfe17d9310</v>
      </c>
      <c r="F30" s="21" t="str">
        <f>IF(COUNTIF('HSP-Abzug'!$A$2:$A$300,B30)=1,VLOOKUP(B30,'HSP-Abzug'!$A$3:$L$301,11,FALSE),"")</f>
        <v>https://resolver.staatsbibliothek-berlin.de/HSP0005398E00000000</v>
      </c>
      <c r="G30" s="20" t="str">
        <f>IF(COUNTIF('HSP-Abzug'!$A$2:$A$300,B30)=1,VLOOKUP(B30,'HSP-Abzug'!$A$3:$L$301,10,FALSE),"")</f>
        <v>HSP-9f5115d9-bcd7-327b-a7c0-d2437bc72e5e</v>
      </c>
      <c r="H30" s="21" t="str">
        <f>IF(COUNTIF('HSP-Abzug 2'!$A$2:$A$300,B30)=1,VLOOKUP(B30,'HSP-Abzug 2'!$A$3:$P$301,9,FALSE),"")</f>
        <v>https://resolver.staatsbibliothek-berlin.de/HSP00062FA400000000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18">
        <f t="shared" si="1"/>
        <v>30</v>
      </c>
      <c r="B31" s="19" t="str">
        <f t="shared" si="2"/>
        <v>Cod. Donaueschingen 112</v>
      </c>
      <c r="C31" s="15">
        <v>112.0</v>
      </c>
      <c r="D31" s="16">
        <v>182.0</v>
      </c>
      <c r="E31" s="20" t="str">
        <f>IF(COUNTIF('HSP-Abzug'!$A$2:$A$300,B31)=1,VLOOKUP(B31,'HSP-Abzug'!$A$3:$L$301,7,FALSE),"")</f>
        <v>HSP-d1621618-141f-314e-b596-d50703f7bb42</v>
      </c>
      <c r="F31" s="21" t="str">
        <f>IF(COUNTIF('HSP-Abzug'!$A$2:$A$300,B31)=1,VLOOKUP(B31,'HSP-Abzug'!$A$3:$L$301,11,FALSE),"")</f>
        <v>https://resolver.staatsbibliothek-berlin.de/HSP0005399000000000</v>
      </c>
      <c r="G31" s="20" t="str">
        <f>IF(COUNTIF('HSP-Abzug'!$A$2:$A$300,B31)=1,VLOOKUP(B31,'HSP-Abzug'!$A$3:$L$301,10,FALSE),"")</f>
        <v>HSP-aec3d7af-3a62-3dd1-bca8-625a79aea451</v>
      </c>
      <c r="H31" s="20" t="str">
        <f>IF(COUNTIF('HSP-Abzug 2'!$A$2:$A$300,B31)=1,VLOOKUP(B31,'HSP-Abzug 2'!$A$3:$P$301,9,FALSE),"")</f>
        <v>#N/A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18">
        <f t="shared" si="1"/>
        <v>31</v>
      </c>
      <c r="B32" s="19" t="str">
        <f t="shared" si="2"/>
        <v>Cod. Donaueschingen 113</v>
      </c>
      <c r="C32" s="15">
        <v>113.0</v>
      </c>
      <c r="D32" s="16">
        <v>189.0</v>
      </c>
      <c r="E32" s="20" t="str">
        <f>IF(COUNTIF('HSP-Abzug'!$A$2:$A$300,B32)=1,VLOOKUP(B32,'HSP-Abzug'!$A$3:$L$301,7,FALSE),"")</f>
        <v>HSP-9f926ebf-10bb-3d20-88e0-9c8c506be721</v>
      </c>
      <c r="F32" s="21" t="str">
        <f>IF(COUNTIF('HSP-Abzug'!$A$2:$A$300,B32)=1,VLOOKUP(B32,'HSP-Abzug'!$A$3:$L$301,11,FALSE),"")</f>
        <v>https://resolver.staatsbibliothek-berlin.de/HSP0005399100000000</v>
      </c>
      <c r="G32" s="20" t="str">
        <f>IF(COUNTIF('HSP-Abzug'!$A$2:$A$300,B32)=1,VLOOKUP(B32,'HSP-Abzug'!$A$3:$L$301,10,FALSE),"")</f>
        <v>HSP-460c4b85-3c12-3402-98c2-60c2f8f34eb9</v>
      </c>
      <c r="H32" s="21" t="str">
        <f>IF(COUNTIF('HSP-Abzug 2'!$A$2:$A$300,B32)=1,VLOOKUP(B32,'HSP-Abzug 2'!$A$3:$P$301,9,FALSE),"")</f>
        <v>https://resolver.staatsbibliothek-berlin.de/HSP00062FAF00000000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18">
        <f t="shared" si="1"/>
        <v>32</v>
      </c>
      <c r="B33" s="19" t="str">
        <f t="shared" si="2"/>
        <v>Cod. Donaueschingen 114</v>
      </c>
      <c r="C33" s="15">
        <v>114.0</v>
      </c>
      <c r="D33" s="16">
        <v>216.0</v>
      </c>
      <c r="E33" s="20" t="str">
        <f>IF(COUNTIF('HSP-Abzug'!$A$2:$A$300,B33)=1,VLOOKUP(B33,'HSP-Abzug'!$A$3:$L$301,7,FALSE),"")</f>
        <v>HSP-9ac7779f-d662-34a5-a8f8-6bccf87b549b</v>
      </c>
      <c r="F33" s="21" t="str">
        <f>IF(COUNTIF('HSP-Abzug'!$A$2:$A$300,B33)=1,VLOOKUP(B33,'HSP-Abzug'!$A$3:$L$301,11,FALSE),"")</f>
        <v>https://resolver.staatsbibliothek-berlin.de/HSP0005399200000000</v>
      </c>
      <c r="G33" s="20" t="str">
        <f>IF(COUNTIF('HSP-Abzug'!$A$2:$A$300,B33)=1,VLOOKUP(B33,'HSP-Abzug'!$A$3:$L$301,10,FALSE),"")</f>
        <v>HSP-3c1cb820-a9ad-388c-b79f-3deef206961c</v>
      </c>
      <c r="H33" s="21" t="str">
        <f>IF(COUNTIF('HSP-Abzug 2'!$A$2:$A$300,B33)=1,VLOOKUP(B33,'HSP-Abzug 2'!$A$3:$P$301,9,FALSE),"")</f>
        <v>https://resolver.staatsbibliothek-berlin.de/HSP00062FA500000000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18">
        <f t="shared" si="1"/>
        <v>33</v>
      </c>
      <c r="B34" s="19" t="str">
        <f t="shared" si="2"/>
        <v>Cod. Donaueschingen 115</v>
      </c>
      <c r="C34" s="15">
        <v>115.0</v>
      </c>
      <c r="D34" s="16" t="s">
        <v>898</v>
      </c>
      <c r="E34" s="20" t="str">
        <f>IF(COUNTIF('HSP-Abzug'!$A$2:$A$300,B34)=1,VLOOKUP(B34,'HSP-Abzug'!$A$3:$L$301,7,FALSE),"")</f>
        <v>HSP-4016433d-33c4-30b2-979a-4d4d220fad94</v>
      </c>
      <c r="F34" s="21" t="str">
        <f>IF(COUNTIF('HSP-Abzug'!$A$2:$A$300,B34)=1,VLOOKUP(B34,'HSP-Abzug'!$A$3:$L$301,11,FALSE),"")</f>
        <v>https://resolver.staatsbibliothek-berlin.de/HSP0005399300000000</v>
      </c>
      <c r="G34" s="20" t="str">
        <f>IF(COUNTIF('HSP-Abzug'!$A$2:$A$300,B34)=1,VLOOKUP(B34,'HSP-Abzug'!$A$3:$L$301,10,FALSE),"")</f>
        <v>HSP-442630a1-d1e0-3160-a8c4-bd5a4a730bc7</v>
      </c>
      <c r="H34" s="21" t="str">
        <f>IF(COUNTIF('HSP-Abzug 2'!$A$2:$A$300,B34)=1,VLOOKUP(B34,'HSP-Abzug 2'!$A$3:$P$301,9,FALSE),"")</f>
        <v>https://resolver.staatsbibliothek-berlin.de/HSP00062F4E00000000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18">
        <f t="shared" si="1"/>
        <v>34</v>
      </c>
      <c r="B35" s="19" t="str">
        <f t="shared" si="2"/>
        <v>Cod. Donaueschingen 116</v>
      </c>
      <c r="C35" s="15">
        <v>116.0</v>
      </c>
      <c r="D35" s="16">
        <v>31.0</v>
      </c>
      <c r="E35" s="20" t="str">
        <f>IF(COUNTIF('HSP-Abzug'!$A$2:$A$300,B35)=1,VLOOKUP(B35,'HSP-Abzug'!$A$3:$L$301,7,FALSE),"")</f>
        <v>HSP-c7be4edd-9935-3942-a1ba-615bd68da72a</v>
      </c>
      <c r="F35" s="21" t="str">
        <f>IF(COUNTIF('HSP-Abzug'!$A$2:$A$300,B35)=1,VLOOKUP(B35,'HSP-Abzug'!$A$3:$L$301,11,FALSE),"")</f>
        <v>https://resolver.staatsbibliothek-berlin.de/HSP0005399400000000</v>
      </c>
      <c r="G35" s="20" t="str">
        <f>IF(COUNTIF('HSP-Abzug'!$A$2:$A$300,B35)=1,VLOOKUP(B35,'HSP-Abzug'!$A$3:$L$301,10,FALSE),"")</f>
        <v>HSP-3d089ce7-6ef5-37e1-9134-51536f5b633e</v>
      </c>
      <c r="H35" s="21" t="str">
        <f>IF(COUNTIF('HSP-Abzug 2'!$A$2:$A$300,B35)=1,VLOOKUP(B35,'HSP-Abzug 2'!$A$3:$P$301,9,FALSE),"")</f>
        <v>https://resolver.staatsbibliothek-berlin.de/HSP00062F4D00000000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18">
        <f t="shared" si="1"/>
        <v>35</v>
      </c>
      <c r="B36" s="19" t="str">
        <f t="shared" si="2"/>
        <v>Cod. Donaueschingen 118</v>
      </c>
      <c r="C36" s="15">
        <v>118.0</v>
      </c>
      <c r="D36" s="16">
        <v>241.0</v>
      </c>
      <c r="E36" s="20" t="str">
        <f>IF(COUNTIF('HSP-Abzug'!$A$2:$A$300,B36)=1,VLOOKUP(B36,'HSP-Abzug'!$A$3:$L$301,7,FALSE),"")</f>
        <v>HSP-8a28a11c-1699-3f3d-a959-981cbb7b2352</v>
      </c>
      <c r="F36" s="21" t="str">
        <f>IF(COUNTIF('HSP-Abzug'!$A$2:$A$300,B36)=1,VLOOKUP(B36,'HSP-Abzug'!$A$3:$L$301,11,FALSE),"")</f>
        <v>https://resolver.staatsbibliothek-berlin.de/HSP0005399600000000</v>
      </c>
      <c r="G36" s="20" t="str">
        <f>IF(COUNTIF('HSP-Abzug'!$A$2:$A$300,B36)=1,VLOOKUP(B36,'HSP-Abzug'!$A$3:$L$301,10,FALSE),"")</f>
        <v>HSP-f5ab6df3-192f-32d4-a00a-a7b59565447c</v>
      </c>
      <c r="H36" s="21" t="str">
        <f>IF(COUNTIF('HSP-Abzug 2'!$A$2:$A$300,B36)=1,VLOOKUP(B36,'HSP-Abzug 2'!$A$3:$P$301,9,FALSE),"")</f>
        <v>https://resolver.staatsbibliothek-berlin.de/HSP00062F8700000000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23">
        <f t="shared" si="1"/>
        <v>36</v>
      </c>
      <c r="B37" s="24" t="str">
        <f t="shared" si="2"/>
        <v>Cod. Donaueschingen 119</v>
      </c>
      <c r="C37" s="25">
        <v>119.0</v>
      </c>
      <c r="D37" s="26">
        <v>245.0</v>
      </c>
      <c r="E37" s="27" t="str">
        <f>IF(COUNTIF('HSP-Abzug'!$A$2:$A$300,B37)=1,VLOOKUP(B37,'HSP-Abzug'!$A$3:$L$301,7,FALSE),"")</f>
        <v>HSP-e03bca77-9acf-3204-9121-83cc03d95cd5</v>
      </c>
      <c r="F37" s="28" t="str">
        <f>IF(COUNTIF('HSP-Abzug'!$A$2:$A$300,B37)=1,VLOOKUP(B37,'HSP-Abzug'!$A$3:$L$301,11,FALSE),"")</f>
        <v>https://resolver.staatsbibliothek-berlin.de/HSP0005399700000000</v>
      </c>
      <c r="G37" s="27" t="str">
        <f>IF(COUNTIF('HSP-Abzug'!$A$2:$A$300,B37)=1,VLOOKUP(B37,'HSP-Abzug'!$A$3:$L$301,10,FALSE),"")</f>
        <v>HSP-efdbae03-c961-3590-a87a-ac5be2285366</v>
      </c>
      <c r="H37" s="21" t="str">
        <f>IF(COUNTIF('HSP-Abzug 2'!$A$2:$A$300,B37)=1,VLOOKUP(B37,'HSP-Abzug 2'!$A$3:$P$301,9,FALSE),"")</f>
        <v>https://resolver.staatsbibliothek-berlin.de/HSP00062F8800000000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23">
        <f t="shared" si="1"/>
        <v>37</v>
      </c>
      <c r="B38" s="24" t="str">
        <f t="shared" si="2"/>
        <v>Cod. Donaueschingen 120</v>
      </c>
      <c r="C38" s="25">
        <v>120.0</v>
      </c>
      <c r="D38" s="26">
        <v>263.0</v>
      </c>
      <c r="E38" s="27" t="str">
        <f>IF(COUNTIF('HSP-Abzug'!$A$2:$A$300,B38)=1,VLOOKUP(B38,'HSP-Abzug'!$A$3:$L$301,7,FALSE),"")</f>
        <v>HSP-8f8428dc-9cb1-35dd-9c20-fdfab0749655</v>
      </c>
      <c r="F38" s="28" t="str">
        <f>IF(COUNTIF('HSP-Abzug'!$A$2:$A$300,B38)=1,VLOOKUP(B38,'HSP-Abzug'!$A$3:$L$301,11,FALSE),"")</f>
        <v>https://resolver.staatsbibliothek-berlin.de/HSP0005399800000000</v>
      </c>
      <c r="G38" s="27" t="str">
        <f>IF(COUNTIF('HSP-Abzug'!$A$2:$A$300,B38)=1,VLOOKUP(B38,'HSP-Abzug'!$A$3:$L$301,10,FALSE),"")</f>
        <v>HSP-013575d7-38c1-3442-a52d-186d958881f0</v>
      </c>
      <c r="H38" s="21" t="str">
        <f>IF(COUNTIF('HSP-Abzug 2'!$A$2:$A$300,B38)=1,VLOOKUP(B38,'HSP-Abzug 2'!$A$3:$P$301,9,FALSE),"")</f>
        <v>https://resolver.staatsbibliothek-berlin.de/HSP00062F8400000000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23">
        <f t="shared" si="1"/>
        <v>38</v>
      </c>
      <c r="B39" s="24" t="str">
        <f t="shared" si="2"/>
        <v>Cod. Donaueschingen 121</v>
      </c>
      <c r="C39" s="25">
        <v>121.0</v>
      </c>
      <c r="D39" s="26">
        <v>196.0</v>
      </c>
      <c r="E39" s="27" t="str">
        <f>IF(COUNTIF('HSP-Abzug'!$A$2:$A$300,B39)=1,VLOOKUP(B39,'HSP-Abzug'!$A$3:$L$301,7,FALSE),"")</f>
        <v>HSP-6d692352-5040-3daf-92e6-e10e6dadb784</v>
      </c>
      <c r="F39" s="28" t="str">
        <f>IF(COUNTIF('HSP-Abzug'!$A$2:$A$300,B39)=1,VLOOKUP(B39,'HSP-Abzug'!$A$3:$L$301,11,FALSE),"")</f>
        <v>https://resolver.staatsbibliothek-berlin.de/HSP0005399900000000</v>
      </c>
      <c r="G39" s="27" t="str">
        <f>IF(COUNTIF('HSP-Abzug'!$A$2:$A$300,B39)=1,VLOOKUP(B39,'HSP-Abzug'!$A$3:$L$301,10,FALSE),"")</f>
        <v>HSP-abdb0969-3e0c-3730-8035-58ddbd4444c9</v>
      </c>
      <c r="H39" s="21" t="str">
        <f>IF(COUNTIF('HSP-Abzug 2'!$A$2:$A$300,B39)=1,VLOOKUP(B39,'HSP-Abzug 2'!$A$3:$P$301,9,FALSE),"")</f>
        <v>https://resolver.staatsbibliothek-berlin.de/HSP00062FBA00000000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23">
        <f t="shared" si="1"/>
        <v>39</v>
      </c>
      <c r="B40" s="24" t="str">
        <f t="shared" si="2"/>
        <v>Cod. Donaueschingen 129</v>
      </c>
      <c r="C40" s="25">
        <v>129.0</v>
      </c>
      <c r="D40" s="26">
        <v>205.0</v>
      </c>
      <c r="E40" s="27" t="str">
        <f>IF(COUNTIF('HSP-Abzug'!$A$2:$A$300,B40)=1,VLOOKUP(B40,'HSP-Abzug'!$A$3:$L$301,7,FALSE),"")</f>
        <v>HSP-025a0302-cbea-3a34-9c20-592e9c885e7b</v>
      </c>
      <c r="F40" s="28" t="str">
        <f>IF(COUNTIF('HSP-Abzug'!$A$2:$A$300,B40)=1,VLOOKUP(B40,'HSP-Abzug'!$A$3:$L$301,11,FALSE),"")</f>
        <v>https://resolver.staatsbibliothek-berlin.de/HSP0005399B00000000</v>
      </c>
      <c r="G40" s="27" t="str">
        <f>IF(COUNTIF('HSP-Abzug'!$A$2:$A$300,B40)=1,VLOOKUP(B40,'HSP-Abzug'!$A$3:$L$301,10,FALSE),"")</f>
        <v>HSP-12f7558a-ffd8-3eba-ab30-99ff1ba7fea5</v>
      </c>
      <c r="H40" s="21" t="str">
        <f>IF(COUNTIF('HSP-Abzug 2'!$A$2:$A$300,B40)=1,VLOOKUP(B40,'HSP-Abzug 2'!$A$3:$P$301,9,FALSE),"")</f>
        <v>https://resolver.staatsbibliothek-berlin.de/HSP00062F5800000000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23">
        <f t="shared" si="1"/>
        <v>40</v>
      </c>
      <c r="B41" s="24" t="str">
        <f t="shared" si="2"/>
        <v>Cod. Donaueschingen 130</v>
      </c>
      <c r="C41" s="25">
        <v>130.0</v>
      </c>
      <c r="D41" s="26">
        <v>98.0</v>
      </c>
      <c r="E41" s="27" t="str">
        <f>IF(COUNTIF('HSP-Abzug'!$A$2:$A$300,B41)=1,VLOOKUP(B41,'HSP-Abzug'!$A$3:$L$301,7,FALSE),"")</f>
        <v>HSP-2df880b2-2e84-3e5e-b266-fabe1deeef88</v>
      </c>
      <c r="F41" s="28" t="str">
        <f>IF(COUNTIF('HSP-Abzug'!$A$2:$A$300,B41)=1,VLOOKUP(B41,'HSP-Abzug'!$A$3:$L$301,11,FALSE),"")</f>
        <v>https://resolver.staatsbibliothek-berlin.de/HSP0005399C00000000</v>
      </c>
      <c r="G41" s="27" t="str">
        <f>IF(COUNTIF('HSP-Abzug'!$A$2:$A$300,B41)=1,VLOOKUP(B41,'HSP-Abzug'!$A$3:$L$301,10,FALSE),"")</f>
        <v>HSP-8340b943-d320-31f4-9e11-ca82e5c49138</v>
      </c>
      <c r="H41" s="21" t="str">
        <f>IF(COUNTIF('HSP-Abzug 2'!$A$2:$A$300,B41)=1,VLOOKUP(B41,'HSP-Abzug 2'!$A$3:$P$301,9,FALSE),"")</f>
        <v>https://resolver.staatsbibliothek-berlin.de/HSP00062FA600000000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23">
        <f t="shared" si="1"/>
        <v>41</v>
      </c>
      <c r="B42" s="24" t="str">
        <f t="shared" si="2"/>
        <v>Cod. Donaueschingen 131</v>
      </c>
      <c r="C42" s="25">
        <v>131.0</v>
      </c>
      <c r="D42" s="26">
        <v>206.0</v>
      </c>
      <c r="E42" s="27" t="str">
        <f>IF(COUNTIF('HSP-Abzug'!$A$2:$A$300,B42)=1,VLOOKUP(B42,'HSP-Abzug'!$A$3:$L$301,7,FALSE),"")</f>
        <v>HSP-dbcc23ec-1f98-3853-b3b4-006e87e9d7d2</v>
      </c>
      <c r="F42" s="28" t="str">
        <f>IF(COUNTIF('HSP-Abzug'!$A$2:$A$300,B42)=1,VLOOKUP(B42,'HSP-Abzug'!$A$3:$L$301,11,FALSE),"")</f>
        <v>https://resolver.staatsbibliothek-berlin.de/HSP0005399D00000000</v>
      </c>
      <c r="G42" s="27" t="str">
        <f>IF(COUNTIF('HSP-Abzug'!$A$2:$A$300,B42)=1,VLOOKUP(B42,'HSP-Abzug'!$A$3:$L$301,10,FALSE),"")</f>
        <v>HSP-869c002b-acb3-387e-a6bd-19bc9837ed57</v>
      </c>
      <c r="H42" s="21" t="str">
        <f>IF(COUNTIF('HSP-Abzug 2'!$A$2:$A$300,B42)=1,VLOOKUP(B42,'HSP-Abzug 2'!$A$3:$P$301,9,FALSE),"")</f>
        <v>https://resolver.staatsbibliothek-berlin.de/HSP00062FA700000000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23">
        <f t="shared" si="1"/>
        <v>42</v>
      </c>
      <c r="B43" s="24" t="str">
        <f t="shared" si="2"/>
        <v>Cod. Donaueschingen 142</v>
      </c>
      <c r="C43" s="25">
        <v>142.0</v>
      </c>
      <c r="D43" s="26">
        <v>185.0</v>
      </c>
      <c r="E43" s="27" t="str">
        <f>IF(COUNTIF('HSP-Abzug'!$A$2:$A$300,B43)=1,VLOOKUP(B43,'HSP-Abzug'!$A$3:$L$301,7,FALSE),"")</f>
        <v>HSP-9bf09489-f82c-377a-9ca0-88fe0aaae195</v>
      </c>
      <c r="F43" s="28" t="str">
        <f>IF(COUNTIF('HSP-Abzug'!$A$2:$A$300,B43)=1,VLOOKUP(B43,'HSP-Abzug'!$A$3:$L$301,11,FALSE),"")</f>
        <v>https://resolver.staatsbibliothek-berlin.de/HSP000539A400000000</v>
      </c>
      <c r="G43" s="27" t="str">
        <f>IF(COUNTIF('HSP-Abzug'!$A$2:$A$300,B43)=1,VLOOKUP(B43,'HSP-Abzug'!$A$3:$L$301,10,FALSE),"")</f>
        <v>HSP-c5104235-a720-3ff6-9eac-6e04ec765315</v>
      </c>
      <c r="H43" s="21" t="str">
        <f>IF(COUNTIF('HSP-Abzug 2'!$A$2:$A$300,B43)=1,VLOOKUP(B43,'HSP-Abzug 2'!$A$3:$P$301,9,FALSE),"")</f>
        <v>https://resolver.staatsbibliothek-berlin.de/HSP00062F4F00000000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23">
        <f t="shared" si="1"/>
        <v>43</v>
      </c>
      <c r="B44" s="24" t="str">
        <f t="shared" si="2"/>
        <v>Cod. Donaueschingen 144</v>
      </c>
      <c r="C44" s="25">
        <v>144.0</v>
      </c>
      <c r="D44" s="26">
        <v>192.0</v>
      </c>
      <c r="E44" s="27" t="str">
        <f>IF(COUNTIF('HSP-Abzug'!$A$2:$A$300,B44)=1,VLOOKUP(B44,'HSP-Abzug'!$A$3:$L$301,7,FALSE),"")</f>
        <v>HSP-3dfe8c8d-5e25-3197-be1e-5be5eaa5e1b8</v>
      </c>
      <c r="F44" s="28" t="str">
        <f>IF(COUNTIF('HSP-Abzug'!$A$2:$A$300,B44)=1,VLOOKUP(B44,'HSP-Abzug'!$A$3:$L$301,11,FALSE),"")</f>
        <v>https://resolver.staatsbibliothek-berlin.de/HSP000539A600000000</v>
      </c>
      <c r="G44" s="27" t="str">
        <f>IF(COUNTIF('HSP-Abzug'!$A$2:$A$300,B44)=1,VLOOKUP(B44,'HSP-Abzug'!$A$3:$L$301,10,FALSE),"")</f>
        <v>HSP-4fb6a0a8-2c03-30f9-acfc-334595eedaf1</v>
      </c>
      <c r="H44" s="21" t="str">
        <f>IF(COUNTIF('HSP-Abzug 2'!$A$2:$A$300,B44)=1,VLOOKUP(B44,'HSP-Abzug 2'!$A$3:$P$301,9,FALSE),"")</f>
        <v>https://resolver.staatsbibliothek-berlin.de/HSP00062FCF00000000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23">
        <f t="shared" si="1"/>
        <v>44</v>
      </c>
      <c r="B45" s="24" t="str">
        <f t="shared" si="2"/>
        <v>Cod. Donaueschingen 151</v>
      </c>
      <c r="C45" s="25">
        <v>151.0</v>
      </c>
      <c r="D45" s="26">
        <v>188.0</v>
      </c>
      <c r="E45" s="27" t="str">
        <f>IF(COUNTIF('HSP-Abzug'!$A$2:$A$300,B45)=1,VLOOKUP(B45,'HSP-Abzug'!$A$3:$L$301,7,FALSE),"")</f>
        <v>HSP-f6e4fc1d-97f9-3414-b6d4-6dd4628fece7</v>
      </c>
      <c r="F45" s="28" t="str">
        <f>IF(COUNTIF('HSP-Abzug'!$A$2:$A$300,B45)=1,VLOOKUP(B45,'HSP-Abzug'!$A$3:$L$301,11,FALSE),"")</f>
        <v>https://resolver.staatsbibliothek-berlin.de/HSP000539AD00000000</v>
      </c>
      <c r="G45" s="27" t="str">
        <f>IF(COUNTIF('HSP-Abzug'!$A$2:$A$300,B45)=1,VLOOKUP(B45,'HSP-Abzug'!$A$3:$L$301,10,FALSE),"")</f>
        <v>HSP-47ce433a-7241-34a8-8624-c4b9ddf5586f</v>
      </c>
      <c r="H45" s="21" t="str">
        <f>IF(COUNTIF('HSP-Abzug 2'!$A$2:$A$300,B45)=1,VLOOKUP(B45,'HSP-Abzug 2'!$A$3:$P$301,9,FALSE),"")</f>
        <v>https://resolver.staatsbibliothek-berlin.de/HSP00062FB100000000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23">
        <f t="shared" si="1"/>
        <v>45</v>
      </c>
      <c r="B46" s="24" t="str">
        <f t="shared" si="2"/>
        <v>Cod. Donaueschingen 152</v>
      </c>
      <c r="C46" s="25">
        <v>152.0</v>
      </c>
      <c r="D46" s="26">
        <v>193.0</v>
      </c>
      <c r="E46" s="27" t="str">
        <f>IF(COUNTIF('HSP-Abzug'!$A$2:$A$300,B46)=1,VLOOKUP(B46,'HSP-Abzug'!$A$3:$L$301,7,FALSE),"")</f>
        <v>HSP-a0f8c101-ecf0-3442-86ac-9d212e7078eb</v>
      </c>
      <c r="F46" s="28" t="str">
        <f>IF(COUNTIF('HSP-Abzug'!$A$2:$A$300,B46)=1,VLOOKUP(B46,'HSP-Abzug'!$A$3:$L$301,11,FALSE),"")</f>
        <v>https://resolver.staatsbibliothek-berlin.de/HSP000539AE00000000</v>
      </c>
      <c r="G46" s="27" t="str">
        <f>IF(COUNTIF('HSP-Abzug'!$A$2:$A$300,B46)=1,VLOOKUP(B46,'HSP-Abzug'!$A$3:$L$301,10,FALSE),"")</f>
        <v>HSP-02e7915b-ff1f-36f5-ad0d-8ca29dc950a8</v>
      </c>
      <c r="H46" s="21" t="str">
        <f>IF(COUNTIF('HSP-Abzug 2'!$A$2:$A$300,B46)=1,VLOOKUP(B46,'HSP-Abzug 2'!$A$3:$P$301,9,FALSE),"")</f>
        <v>https://resolver.staatsbibliothek-berlin.de/HSP00062FB900000000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23">
        <f t="shared" si="1"/>
        <v>46</v>
      </c>
      <c r="B47" s="24" t="str">
        <f t="shared" si="2"/>
        <v>Cod. Donaueschingen 156</v>
      </c>
      <c r="C47" s="25">
        <v>156.0</v>
      </c>
      <c r="D47" s="26">
        <v>213.0</v>
      </c>
      <c r="E47" s="27" t="str">
        <f>IF(COUNTIF('HSP-Abzug'!$A$2:$A$300,B47)=1,VLOOKUP(B47,'HSP-Abzug'!$A$3:$L$301,7,FALSE),"")</f>
        <v>HSP-8932aa0b-c54f-30a1-ace3-419fc4107a3d</v>
      </c>
      <c r="F47" s="28" t="str">
        <f>IF(COUNTIF('HSP-Abzug'!$A$2:$A$300,B47)=1,VLOOKUP(B47,'HSP-Abzug'!$A$3:$L$301,11,FALSE),"")</f>
        <v>https://resolver.staatsbibliothek-berlin.de/HSP000539B000000000</v>
      </c>
      <c r="G47" s="27" t="str">
        <f>IF(COUNTIF('HSP-Abzug'!$A$2:$A$300,B47)=1,VLOOKUP(B47,'HSP-Abzug'!$A$3:$L$301,10,FALSE),"")</f>
        <v>HSP-d3d68485-31e1-3441-8647-54f00d612764</v>
      </c>
      <c r="H47" s="21" t="str">
        <f>IF(COUNTIF('HSP-Abzug 2'!$A$2:$A$300,B47)=1,VLOOKUP(B47,'HSP-Abzug 2'!$A$3:$P$301,9,FALSE),"")</f>
        <v>https://resolver.staatsbibliothek-berlin.de/HSP00062FD500000000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23">
        <f t="shared" si="1"/>
        <v>47</v>
      </c>
      <c r="B48" s="24" t="str">
        <f t="shared" si="2"/>
        <v>Cod. Donaueschingen 157a</v>
      </c>
      <c r="C48" s="25" t="s">
        <v>1124</v>
      </c>
      <c r="D48" s="26">
        <v>234.0</v>
      </c>
      <c r="E48" s="27" t="str">
        <f>IF(COUNTIF('HSP-Abzug'!$A$2:$A$300,B48)=1,VLOOKUP(B48,'HSP-Abzug'!$A$3:$L$301,7,FALSE),"")</f>
        <v>HSP-96f9b9e7-dffe-3fd8-957e-0ad7024577ba</v>
      </c>
      <c r="F48" s="28" t="str">
        <f>IF(COUNTIF('HSP-Abzug'!$A$2:$A$300,B48)=1,VLOOKUP(B48,'HSP-Abzug'!$A$3:$L$301,11,FALSE),"")</f>
        <v>https://resolver.staatsbibliothek-berlin.de/HSP000539B100000000</v>
      </c>
      <c r="G48" s="27" t="str">
        <f>IF(COUNTIF('HSP-Abzug'!$A$2:$A$300,B48)=1,VLOOKUP(B48,'HSP-Abzug'!$A$3:$L$301,10,FALSE),"")</f>
        <v>HSP-3b953578-b0b9-3f64-aef5-519509e0408f</v>
      </c>
      <c r="H48" s="21" t="str">
        <f>IF(COUNTIF('HSP-Abzug 2'!$A$2:$A$300,B48)=1,VLOOKUP(B48,'HSP-Abzug 2'!$A$3:$P$301,9,FALSE),"")</f>
        <v>https://resolver.staatsbibliothek-berlin.de/HSP00062FB400000000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23">
        <f t="shared" si="1"/>
        <v>48</v>
      </c>
      <c r="B49" s="24" t="str">
        <f t="shared" si="2"/>
        <v>Cod. Donaueschingen 157b</v>
      </c>
      <c r="C49" s="25" t="s">
        <v>1145</v>
      </c>
      <c r="D49" s="26">
        <v>232.0</v>
      </c>
      <c r="E49" s="27" t="str">
        <f>IF(COUNTIF('HSP-Abzug'!$A$2:$A$300,B49)=1,VLOOKUP(B49,'HSP-Abzug'!$A$3:$L$301,7,FALSE),"")</f>
        <v>HSP-cc18fdce-a314-367f-93a6-6c5306576e43</v>
      </c>
      <c r="F49" s="28" t="str">
        <f>IF(COUNTIF('HSP-Abzug'!$A$2:$A$300,B49)=1,VLOOKUP(B49,'HSP-Abzug'!$A$3:$L$301,11,FALSE),"")</f>
        <v>https://resolver.staatsbibliothek-berlin.de/HSP000539B200000000</v>
      </c>
      <c r="G49" s="27" t="str">
        <f>IF(COUNTIF('HSP-Abzug'!$A$2:$A$300,B49)=1,VLOOKUP(B49,'HSP-Abzug'!$A$3:$L$301,10,FALSE),"")</f>
        <v>HSP-e9a7f203-ca30-3e37-8c66-228b333a4bd8</v>
      </c>
      <c r="H49" s="21" t="str">
        <f>IF(COUNTIF('HSP-Abzug 2'!$A$2:$A$300,B49)=1,VLOOKUP(B49,'HSP-Abzug 2'!$A$3:$P$301,9,FALSE),"")</f>
        <v>https://resolver.staatsbibliothek-berlin.de/HSP00062FB500000000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23">
        <f t="shared" si="1"/>
        <v>49</v>
      </c>
      <c r="B50" s="19" t="str">
        <f t="shared" si="2"/>
        <v>Cod. Donaueschingen 179</v>
      </c>
      <c r="C50" s="15">
        <v>179.0</v>
      </c>
      <c r="D50" s="16">
        <v>29.0</v>
      </c>
      <c r="E50" s="27" t="str">
        <f>IF(COUNTIF('HSP-Abzug'!$A$2:$A$300,B50)=1,VLOOKUP(B50,'HSP-Abzug'!$A$3:$L$301,7,FALSE),"")</f>
        <v>HSP-6962ca26-be17-327c-8d84-9c57be1c72d0</v>
      </c>
      <c r="F50" s="28" t="str">
        <f>IF(COUNTIF('HSP-Abzug'!$A$2:$A$300,B50)=1,VLOOKUP(B50,'HSP-Abzug'!$A$3:$L$301,11,FALSE),"")</f>
        <v>https://resolver.staatsbibliothek-berlin.de/HSP000539B500000000</v>
      </c>
      <c r="G50" s="27" t="str">
        <f>IF(COUNTIF('HSP-Abzug'!$A$2:$A$300,B50)=1,VLOOKUP(B50,'HSP-Abzug'!$A$3:$L$301,10,FALSE),"")</f>
        <v>HSP-ae669605-537b-3b2a-b92f-e42ff70f58d3</v>
      </c>
      <c r="H50" s="21" t="str">
        <f>IF(COUNTIF('HSP-Abzug 2'!$A$2:$A$300,B50)=1,VLOOKUP(B50,'HSP-Abzug 2'!$A$3:$P$301,9,FALSE),"")</f>
        <v>https://resolver.staatsbibliothek-berlin.de/HSP00062F9500000000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23">
        <f t="shared" si="1"/>
        <v>50</v>
      </c>
      <c r="B51" s="24" t="str">
        <f t="shared" si="2"/>
        <v>Cod. Donaueschingen 189</v>
      </c>
      <c r="C51" s="25">
        <v>189.0</v>
      </c>
      <c r="D51" s="26">
        <v>26.0</v>
      </c>
      <c r="E51" s="27" t="str">
        <f>IF(COUNTIF('HSP-Abzug'!$A$2:$A$300,B51)=1,VLOOKUP(B51,'HSP-Abzug'!$A$3:$L$301,7,FALSE),"")</f>
        <v>HSP-ed1bed4e-a660-358d-8077-45ecae1055da</v>
      </c>
      <c r="F51" s="28" t="str">
        <f>IF(COUNTIF('HSP-Abzug'!$A$2:$A$300,B51)=1,VLOOKUP(B51,'HSP-Abzug'!$A$3:$L$301,11,FALSE),"")</f>
        <v>https://resolver.staatsbibliothek-berlin.de/HSP000539B700000000</v>
      </c>
      <c r="G51" s="27" t="str">
        <f>IF(COUNTIF('HSP-Abzug'!$A$2:$A$300,B51)=1,VLOOKUP(B51,'HSP-Abzug'!$A$3:$L$301,10,FALSE),"")</f>
        <v>HSP-68b9b4c8-e58f-34dc-a739-10ba33fd19cb</v>
      </c>
      <c r="H51" s="21" t="str">
        <f>IF(COUNTIF('HSP-Abzug 2'!$A$2:$A$300,B51)=1,VLOOKUP(B51,'HSP-Abzug 2'!$A$3:$P$301,9,FALSE),"")</f>
        <v>https://resolver.staatsbibliothek-berlin.de/HSP00062F5D00000000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23">
        <f t="shared" si="1"/>
        <v>51</v>
      </c>
      <c r="B52" s="24" t="str">
        <f t="shared" si="2"/>
        <v>Cod. Donaueschingen 242</v>
      </c>
      <c r="C52" s="25">
        <v>242.0</v>
      </c>
      <c r="D52" s="26">
        <v>242.0</v>
      </c>
      <c r="E52" s="27" t="str">
        <f>IF(COUNTIF('HSP-Abzug'!$A$2:$A$300,B52)=1,VLOOKUP(B52,'HSP-Abzug'!$A$3:$L$301,7,FALSE),"")</f>
        <v>HSP-9f53a2ff-96da-30b7-8b5d-c5a6bdcda8a3</v>
      </c>
      <c r="F52" s="28" t="str">
        <f>IF(COUNTIF('HSP-Abzug'!$A$2:$A$300,B52)=1,VLOOKUP(B52,'HSP-Abzug'!$A$3:$L$301,11,FALSE),"")</f>
        <v>https://resolver.staatsbibliothek-berlin.de/HSP000539C000000000</v>
      </c>
      <c r="G52" s="27" t="str">
        <f>IF(COUNTIF('HSP-Abzug'!$A$2:$A$300,B52)=1,VLOOKUP(B52,'HSP-Abzug'!$A$3:$L$301,10,FALSE),"")</f>
        <v>HSP-06f62480-2d83-3a24-822e-1fdb804accdb</v>
      </c>
      <c r="H52" s="21" t="str">
        <f>IF(COUNTIF('HSP-Abzug 2'!$A$2:$A$300,B52)=1,VLOOKUP(B52,'HSP-Abzug 2'!$A$3:$P$301,9,FALSE),"")</f>
        <v>https://resolver.staatsbibliothek-berlin.de/HSP00062FDA00000000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23">
        <f t="shared" si="1"/>
        <v>52</v>
      </c>
      <c r="B53" s="24" t="str">
        <f t="shared" si="2"/>
        <v>Cod. Donaueschingen 291</v>
      </c>
      <c r="C53" s="25">
        <v>291.0</v>
      </c>
      <c r="D53" s="26">
        <v>271.0</v>
      </c>
      <c r="E53" s="27" t="str">
        <f>IF(COUNTIF('HSP-Abzug'!$A$2:$A$300,B53)=1,VLOOKUP(B53,'HSP-Abzug'!$A$3:$L$301,7,FALSE),"")</f>
        <v>HSP-1e9db40e-2903-393c-a523-461f9b8a0798</v>
      </c>
      <c r="F53" s="28" t="str">
        <f>IF(COUNTIF('HSP-Abzug'!$A$2:$A$300,B53)=1,VLOOKUP(B53,'HSP-Abzug'!$A$3:$L$301,11,FALSE),"")</f>
        <v>https://resolver.staatsbibliothek-berlin.de/HSP00053A4500000000</v>
      </c>
      <c r="G53" s="27" t="str">
        <f>IF(COUNTIF('HSP-Abzug'!$A$2:$A$300,B53)=1,VLOOKUP(B53,'HSP-Abzug'!$A$3:$L$301,10,FALSE),"")</f>
        <v>HSP-35ff2c16-74fe-3364-b81c-e5fbd719adca</v>
      </c>
      <c r="H53" s="21" t="str">
        <f>IF(COUNTIF('HSP-Abzug 2'!$A$2:$A$300,B53)=1,VLOOKUP(B53,'HSP-Abzug 2'!$A$3:$P$301,9,FALSE),"")</f>
        <v>https://resolver.staatsbibliothek-berlin.de/HSP0006301A00000000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23">
        <f t="shared" si="1"/>
        <v>53</v>
      </c>
      <c r="B54" s="24" t="str">
        <f t="shared" si="2"/>
        <v>Cod. Donaueschingen 293</v>
      </c>
      <c r="C54" s="25">
        <v>293.0</v>
      </c>
      <c r="D54" s="26">
        <v>18.0</v>
      </c>
      <c r="E54" s="27" t="str">
        <f>IF(COUNTIF('HSP-Abzug'!$A$2:$A$300,B54)=1,VLOOKUP(B54,'HSP-Abzug'!$A$3:$L$301,7,FALSE),"")</f>
        <v>HSP-1bedf64f-14ea-3417-a6ba-99ac30c589a6</v>
      </c>
      <c r="F54" s="28" t="str">
        <f>IF(COUNTIF('HSP-Abzug'!$A$2:$A$300,B54)=1,VLOOKUP(B54,'HSP-Abzug'!$A$3:$L$301,11,FALSE),"")</f>
        <v>https://resolver.staatsbibliothek-berlin.de/HSP000539C600000000</v>
      </c>
      <c r="G54" s="27" t="str">
        <f>IF(COUNTIF('HSP-Abzug'!$A$2:$A$300,B54)=1,VLOOKUP(B54,'HSP-Abzug'!$A$3:$L$301,10,FALSE),"")</f>
        <v>HSP-09f6fc3b-1389-3993-83d7-df6fdfcdea75</v>
      </c>
      <c r="H54" s="21" t="str">
        <f>IF(COUNTIF('HSP-Abzug 2'!$A$2:$A$300,B54)=1,VLOOKUP(B54,'HSP-Abzug 2'!$A$3:$P$301,9,FALSE),"")</f>
        <v>https://resolver.staatsbibliothek-berlin.de/HSP00062FA800000000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23">
        <f t="shared" si="1"/>
        <v>54</v>
      </c>
      <c r="B55" s="24" t="str">
        <f t="shared" si="2"/>
        <v>Cod. Donaueschingen 296</v>
      </c>
      <c r="C55" s="25">
        <v>296.0</v>
      </c>
      <c r="D55" s="26">
        <v>25.0</v>
      </c>
      <c r="E55" s="27" t="str">
        <f>IF(COUNTIF('HSP-Abzug'!$A$2:$A$300,B55)=1,VLOOKUP(B55,'HSP-Abzug'!$A$3:$L$301,7,FALSE),"")</f>
        <v>HSP-a71309e5-943b-3177-a110-56539d4eed6d</v>
      </c>
      <c r="F55" s="28" t="str">
        <f>IF(COUNTIF('HSP-Abzug'!$A$2:$A$300,B55)=1,VLOOKUP(B55,'HSP-Abzug'!$A$3:$L$301,11,FALSE),"")</f>
        <v>https://resolver.staatsbibliothek-berlin.de/HSP000539C900000000</v>
      </c>
      <c r="G55" s="27" t="str">
        <f>IF(COUNTIF('HSP-Abzug'!$A$2:$A$300,B55)=1,VLOOKUP(B55,'HSP-Abzug'!$A$3:$L$301,10,FALSE),"")</f>
        <v>HSP-459382ec-47a1-3f0c-91d0-ef03a0f656c3</v>
      </c>
      <c r="H55" s="21" t="str">
        <f>IF(COUNTIF('HSP-Abzug 2'!$A$2:$A$300,B55)=1,VLOOKUP(B55,'HSP-Abzug 2'!$A$3:$P$301,9,FALSE),"")</f>
        <v>https://resolver.staatsbibliothek-berlin.de/HSP00062FEA00000000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23">
        <f t="shared" si="1"/>
        <v>55</v>
      </c>
      <c r="B56" s="24" t="str">
        <f t="shared" si="2"/>
        <v>Cod. Donaueschingen 359</v>
      </c>
      <c r="C56" s="25">
        <v>359.0</v>
      </c>
      <c r="D56" s="26">
        <v>32.0</v>
      </c>
      <c r="E56" s="27" t="str">
        <f>IF(COUNTIF('HSP-Abzug'!$A$2:$A$300,B56)=1,VLOOKUP(B56,'HSP-Abzug'!$A$3:$L$301,7,FALSE),"")</f>
        <v>HSP-fa53009d-67af-3ac0-8ffe-d081843dce6a</v>
      </c>
      <c r="F56" s="28" t="str">
        <f>IF(COUNTIF('HSP-Abzug'!$A$2:$A$300,B56)=1,VLOOKUP(B56,'HSP-Abzug'!$A$3:$L$301,11,FALSE),"")</f>
        <v>https://resolver.staatsbibliothek-berlin.de/HSP00053A4700000000</v>
      </c>
      <c r="G56" s="27" t="str">
        <f>IF(COUNTIF('HSP-Abzug'!$A$2:$A$300,B56)=1,VLOOKUP(B56,'HSP-Abzug'!$A$3:$L$301,10,FALSE),"")</f>
        <v>HSP-0ff1b503-9c6c-383e-9dd4-a4e46973f24d</v>
      </c>
      <c r="H56" s="21" t="str">
        <f>IF(COUNTIF('HSP-Abzug 2'!$A$2:$A$300,B56)=1,VLOOKUP(B56,'HSP-Abzug 2'!$A$3:$P$301,9,FALSE),"")</f>
        <v>https://resolver.staatsbibliothek-berlin.de/HSP0006302000000000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23">
        <f t="shared" si="1"/>
        <v>56</v>
      </c>
      <c r="B57" s="24" t="str">
        <f t="shared" si="2"/>
        <v>Cod. Donaueschingen 420</v>
      </c>
      <c r="C57" s="25">
        <v>420.0</v>
      </c>
      <c r="D57" s="26">
        <v>252.0</v>
      </c>
      <c r="E57" s="27" t="str">
        <f>IF(COUNTIF('HSP-Abzug'!$A$2:$A$300,B57)=1,VLOOKUP(B57,'HSP-Abzug'!$A$3:$L$301,7,FALSE),"")</f>
        <v>HSP-f3a106a0-ccf2-3f62-a106-210fd39b8ba7</v>
      </c>
      <c r="F57" s="28" t="str">
        <f>IF(COUNTIF('HSP-Abzug'!$A$2:$A$300,B57)=1,VLOOKUP(B57,'HSP-Abzug'!$A$3:$L$301,11,FALSE),"")</f>
        <v>https://resolver.staatsbibliothek-berlin.de/HSP000539D800000000</v>
      </c>
      <c r="G57" s="27" t="str">
        <f>IF(COUNTIF('HSP-Abzug'!$A$2:$A$300,B57)=1,VLOOKUP(B57,'HSP-Abzug'!$A$3:$L$301,10,FALSE),"")</f>
        <v>HSP-5fd802e5-acb1-323d-aa47-52e866f6e4a5</v>
      </c>
      <c r="H57" s="21" t="str">
        <f>IF(COUNTIF('HSP-Abzug 2'!$A$2:$A$300,B57)=1,VLOOKUP(B57,'HSP-Abzug 2'!$A$3:$P$301,9,FALSE),"")</f>
        <v>https://resolver.staatsbibliothek-berlin.de/HSP00062FF700000000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23">
        <f t="shared" si="1"/>
        <v>57</v>
      </c>
      <c r="B58" s="24" t="str">
        <f t="shared" si="2"/>
        <v>Cod. Donaueschingen 422</v>
      </c>
      <c r="C58" s="25">
        <v>422.0</v>
      </c>
      <c r="D58" s="26">
        <v>20.0</v>
      </c>
      <c r="E58" s="27" t="str">
        <f>IF(COUNTIF('HSP-Abzug'!$A$2:$A$300,B58)=1,VLOOKUP(B58,'HSP-Abzug'!$A$3:$L$301,7,FALSE),"")</f>
        <v>HSP-23f4289f-2dcd-3851-8d5d-7223a28c4959</v>
      </c>
      <c r="F58" s="28" t="str">
        <f>IF(COUNTIF('HSP-Abzug'!$A$2:$A$300,B58)=1,VLOOKUP(B58,'HSP-Abzug'!$A$3:$L$301,11,FALSE),"")</f>
        <v>https://resolver.staatsbibliothek-berlin.de/HSP000539DA00000000</v>
      </c>
      <c r="G58" s="27" t="str">
        <f>IF(COUNTIF('HSP-Abzug'!$A$2:$A$300,B58)=1,VLOOKUP(B58,'HSP-Abzug'!$A$3:$L$301,10,FALSE),"")</f>
        <v>HSP-0a1bbef2-9ecd-3313-a619-079c97bbe6a7</v>
      </c>
      <c r="H58" s="21" t="str">
        <f>IF(COUNTIF('HSP-Abzug 2'!$A$2:$A$300,B58)=1,VLOOKUP(B58,'HSP-Abzug 2'!$A$3:$P$301,9,FALSE),"")</f>
        <v>https://resolver.staatsbibliothek-berlin.de/HSP00062FEE00000000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23">
        <f t="shared" si="1"/>
        <v>58</v>
      </c>
      <c r="B59" s="24" t="str">
        <f t="shared" si="2"/>
        <v>Cod. Donaueschingen 452</v>
      </c>
      <c r="C59" s="25">
        <v>452.0</v>
      </c>
      <c r="D59" s="26">
        <v>187.0</v>
      </c>
      <c r="E59" s="27" t="str">
        <f>IF(COUNTIF('HSP-Abzug'!$A$2:$A$300,B59)=1,VLOOKUP(B59,'HSP-Abzug'!$A$3:$L$301,7,FALSE),"")</f>
        <v>HSP-7b3c9a68-06ee-303c-8a6f-114ca644c9b9</v>
      </c>
      <c r="F59" s="28" t="str">
        <f>IF(COUNTIF('HSP-Abzug'!$A$2:$A$300,B59)=1,VLOOKUP(B59,'HSP-Abzug'!$A$3:$L$301,11,FALSE),"")</f>
        <v>https://resolver.staatsbibliothek-berlin.de/HSP00053A5100000000</v>
      </c>
      <c r="G59" s="27" t="str">
        <f>IF(COUNTIF('HSP-Abzug'!$A$2:$A$300,B59)=1,VLOOKUP(B59,'HSP-Abzug'!$A$3:$L$301,10,FALSE),"")</f>
        <v>HSP-9c33c1ad-3cfe-3826-9e2d-1c0ab4abeaff</v>
      </c>
      <c r="H59" s="21" t="str">
        <f>IF(COUNTIF('HSP-Abzug 2'!$A$2:$A$300,B59)=1,VLOOKUP(B59,'HSP-Abzug 2'!$A$3:$P$301,9,FALSE),"")</f>
        <v>https://resolver.staatsbibliothek-berlin.de/HSP0006301500000000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2.5" customHeight="1">
      <c r="A60" s="23">
        <f t="shared" si="1"/>
        <v>59</v>
      </c>
      <c r="B60" s="24" t="str">
        <f t="shared" si="2"/>
        <v>Cod. Donaueschingen 456</v>
      </c>
      <c r="C60" s="25">
        <v>456.0</v>
      </c>
      <c r="D60" s="26">
        <v>243.0</v>
      </c>
      <c r="E60" s="27" t="str">
        <f>IF(COUNTIF('HSP-Abzug'!$A$2:$A$300,B60)=1,VLOOKUP(B60,'HSP-Abzug'!$A$3:$L$301,7,FALSE),"")</f>
        <v>HSP-eda7be67-7567-3c55-b36c-54527a9adcd8</v>
      </c>
      <c r="F60" s="28" t="str">
        <f>IF(COUNTIF('HSP-Abzug'!$A$2:$A$300,B60)=1,VLOOKUP(B60,'HSP-Abzug'!$A$3:$L$301,11,FALSE),"")</f>
        <v>https://resolver.staatsbibliothek-berlin.de/HSP000539E200000000</v>
      </c>
      <c r="G60" s="27" t="str">
        <f>IF(COUNTIF('HSP-Abzug'!$A$2:$A$300,B60)=1,VLOOKUP(B60,'HSP-Abzug'!$A$3:$L$301,10,FALSE),"")</f>
        <v>HSP-03c7ef30-1e52-3dc8-a64e-1816835c4240</v>
      </c>
      <c r="H60" s="21" t="str">
        <f>IF(COUNTIF('HSP-Abzug 2'!$A$2:$A$300,B60)=1,VLOOKUP(B60,'HSP-Abzug 2'!$A$3:$P$301,9,FALSE),"")</f>
        <v>https://resolver.staatsbibliothek-berlin.de/HSP0006300C00000000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2.5" customHeight="1">
      <c r="A61" s="23">
        <f t="shared" si="1"/>
        <v>60</v>
      </c>
      <c r="B61" s="24" t="str">
        <f t="shared" si="2"/>
        <v>Cod. Donaueschingen 480</v>
      </c>
      <c r="C61" s="25">
        <v>480.0</v>
      </c>
      <c r="D61" s="26">
        <v>154.0</v>
      </c>
      <c r="E61" s="27" t="str">
        <f>IF(COUNTIF('HSP-Abzug'!$A$2:$A$300,B61)=1,VLOOKUP(B61,'HSP-Abzug'!$A$3:$L$301,7,FALSE),"")</f>
        <v>HSP-0647aadd-1884-3a54-b71b-1da0dd4c2147</v>
      </c>
      <c r="F61" s="28" t="str">
        <f>IF(COUNTIF('HSP-Abzug'!$A$2:$A$300,B61)=1,VLOOKUP(B61,'HSP-Abzug'!$A$3:$L$301,11,FALSE),"")</f>
        <v>https://resolver.staatsbibliothek-berlin.de/HSP00064F4E00000000</v>
      </c>
      <c r="G61" s="27" t="str">
        <f>IF(COUNTIF('HSP-Abzug'!$A$2:$A$300,B61)=1,VLOOKUP(B61,'HSP-Abzug'!$A$3:$L$301,10,FALSE),"")</f>
        <v>HSP-7077e5a3-acab-3192-9a3f-79dba11f5144</v>
      </c>
      <c r="H61" s="21" t="str">
        <f>IF(COUNTIF('HSP-Abzug 2'!$A$2:$A$300,B61)=1,VLOOKUP(B61,'HSP-Abzug 2'!$A$3:$P$301,9,FALSE),"")</f>
        <v>https://resolver.staatsbibliothek-berlin.de/HSP00070AB000000000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2.5" customHeight="1">
      <c r="A62" s="23">
        <f t="shared" si="1"/>
        <v>61</v>
      </c>
      <c r="B62" s="24" t="str">
        <f t="shared" si="2"/>
        <v>Cod. Donaueschingen 482</v>
      </c>
      <c r="C62" s="25">
        <v>482.0</v>
      </c>
      <c r="D62" s="26">
        <v>153.0</v>
      </c>
      <c r="E62" s="27" t="str">
        <f>IF(COUNTIF('HSP-Abzug'!$A$2:$A$300,B62)=1,VLOOKUP(B62,'HSP-Abzug'!$A$3:$L$301,7,FALSE),"")</f>
        <v>HSP-062d9ffa-f9f4-3495-a444-e2ff4087070f</v>
      </c>
      <c r="F62" s="28" t="str">
        <f>IF(COUNTIF('HSP-Abzug'!$A$2:$A$300,B62)=1,VLOOKUP(B62,'HSP-Abzug'!$A$3:$L$301,11,FALSE),"")</f>
        <v>https://resolver.staatsbibliothek-berlin.de/HSP00064F4F00000000</v>
      </c>
      <c r="G62" s="27" t="str">
        <f>IF(COUNTIF('HSP-Abzug'!$A$2:$A$300,B62)=1,VLOOKUP(B62,'HSP-Abzug'!$A$3:$L$301,10,FALSE),"")</f>
        <v>HSP-38c41e96-fa2e-3ad6-80d7-7d13358ec563</v>
      </c>
      <c r="H62" s="21" t="str">
        <f>IF(COUNTIF('HSP-Abzug 2'!$A$2:$A$300,B62)=1,VLOOKUP(B62,'HSP-Abzug 2'!$A$3:$P$301,9,FALSE),"")</f>
        <v>https://resolver.staatsbibliothek-berlin.de/HSP00070AB200000000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2.5" customHeight="1">
      <c r="A63" s="23">
        <f t="shared" si="1"/>
        <v>62</v>
      </c>
      <c r="B63" s="24" t="str">
        <f t="shared" si="2"/>
        <v>Cod. Donaueschingen 496</v>
      </c>
      <c r="C63" s="25">
        <v>496.0</v>
      </c>
      <c r="D63" s="26">
        <v>163.0</v>
      </c>
      <c r="E63" s="27" t="str">
        <f>IF(COUNTIF('HSP-Abzug'!$A$2:$A$300,B63)=1,VLOOKUP(B63,'HSP-Abzug'!$A$3:$L$301,7,FALSE),"")</f>
        <v>HSP-989508a2-3c8f-3ceb-8f50-aa8409a609b6</v>
      </c>
      <c r="F63" s="28" t="str">
        <f>IF(COUNTIF('HSP-Abzug'!$A$2:$A$300,B63)=1,VLOOKUP(B63,'HSP-Abzug'!$A$3:$L$301,11,FALSE),"")</f>
        <v>https://resolver.staatsbibliothek-berlin.de/HSP00064F5300000000</v>
      </c>
      <c r="G63" s="27" t="str">
        <f>IF(COUNTIF('HSP-Abzug'!$A$2:$A$300,B63)=1,VLOOKUP(B63,'HSP-Abzug'!$A$3:$L$301,10,FALSE),"")</f>
        <v>HSP-96e54dee-380f-39f5-9138-36c4b2d3e5fa</v>
      </c>
      <c r="H63" s="21" t="str">
        <f>IF(COUNTIF('HSP-Abzug 2'!$A$2:$A$300,B63)=1,VLOOKUP(B63,'HSP-Abzug 2'!$A$3:$P$301,9,FALSE),"")</f>
        <v>https://resolver.staatsbibliothek-berlin.de/HSP0007121E00000000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2.5" customHeight="1">
      <c r="A64" s="23">
        <f t="shared" si="1"/>
        <v>63</v>
      </c>
      <c r="B64" s="24" t="str">
        <f t="shared" si="2"/>
        <v>Cod. Donaueschingen 513</v>
      </c>
      <c r="C64" s="25">
        <v>513.0</v>
      </c>
      <c r="D64" s="26">
        <v>95.0</v>
      </c>
      <c r="E64" s="27" t="str">
        <f>IF(COUNTIF('HSP-Abzug'!$A$2:$A$300,B64)=1,VLOOKUP(B64,'HSP-Abzug'!$A$3:$L$301,7,FALSE),"")</f>
        <v>HSP-6c51fd7a-f78e-378e-a13b-dee150081546</v>
      </c>
      <c r="F64" s="28" t="str">
        <f>IF(COUNTIF('HSP-Abzug'!$A$2:$A$300,B64)=1,VLOOKUP(B64,'HSP-Abzug'!$A$3:$L$301,11,FALSE),"")</f>
        <v>https://resolver.staatsbibliothek-berlin.de/HSP000539E600000000</v>
      </c>
      <c r="G64" s="27" t="str">
        <f>IF(COUNTIF('HSP-Abzug'!$A$2:$A$300,B64)=1,VLOOKUP(B64,'HSP-Abzug'!$A$3:$L$301,10,FALSE),"")</f>
        <v>HSP-baab5867-5f19-3fcc-b762-70f48ed9c098</v>
      </c>
      <c r="H64" s="21" t="str">
        <f>IF(COUNTIF('HSP-Abzug 2'!$A$2:$A$300,B64)=1,VLOOKUP(B64,'HSP-Abzug 2'!$A$3:$P$301,9,FALSE),"")</f>
        <v>https://resolver.staatsbibliothek-berlin.de/HSP00062F7900000000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2.5" customHeight="1">
      <c r="A65" s="23">
        <f t="shared" si="1"/>
        <v>64</v>
      </c>
      <c r="B65" s="24" t="str">
        <f t="shared" si="2"/>
        <v>Cod. Donaueschingen 570a</v>
      </c>
      <c r="C65" s="25" t="s">
        <v>1480</v>
      </c>
      <c r="D65" s="26">
        <v>166.0</v>
      </c>
      <c r="E65" s="27" t="str">
        <f>IF(COUNTIF('HSP-Abzug'!$A$2:$A$300,B65)=1,VLOOKUP(B65,'HSP-Abzug'!$A$3:$L$301,7,FALSE),"")</f>
        <v>HSP-93c760b4-5732-3838-b871-4493e9521ad4</v>
      </c>
      <c r="F65" s="28" t="str">
        <f>IF(COUNTIF('HSP-Abzug'!$A$2:$A$300,B65)=1,VLOOKUP(B65,'HSP-Abzug'!$A$3:$L$301,11,FALSE),"")</f>
        <v>https://resolver.staatsbibliothek-berlin.de/HSP00064F5400000000</v>
      </c>
      <c r="G65" s="27" t="str">
        <f>IF(COUNTIF('HSP-Abzug'!$A$2:$A$300,B65)=1,VLOOKUP(B65,'HSP-Abzug'!$A$3:$L$301,10,FALSE),"")</f>
        <v>HSP-a7c738c5-e1e5-3fad-9b1e-f9491420567d</v>
      </c>
      <c r="H65" s="21" t="str">
        <f>IF(COUNTIF('HSP-Abzug 2'!$A$2:$A$300,B65)=1,VLOOKUP(B65,'HSP-Abzug 2'!$A$3:$P$301,9,FALSE),"")</f>
        <v>https://resolver.staatsbibliothek-berlin.de/HSP0007121F00000000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2.5" customHeight="1">
      <c r="A66" s="23">
        <f t="shared" si="1"/>
        <v>65</v>
      </c>
      <c r="B66" s="24" t="str">
        <f t="shared" si="2"/>
        <v>Cod. Donaueschingen 570b</v>
      </c>
      <c r="C66" s="25" t="s">
        <v>1487</v>
      </c>
      <c r="D66" s="26">
        <v>167.0</v>
      </c>
      <c r="E66" s="27" t="str">
        <f>IF(COUNTIF('HSP-Abzug'!$A$2:$A$300,B66)=1,VLOOKUP(B66,'HSP-Abzug'!$A$3:$L$301,7,FALSE),"")</f>
        <v>HSP-b367b118-3f8c-32a9-b525-0c3216f2b8f2</v>
      </c>
      <c r="F66" s="28" t="str">
        <f>IF(COUNTIF('HSP-Abzug'!$A$2:$A$300,B66)=1,VLOOKUP(B66,'HSP-Abzug'!$A$3:$L$301,11,FALSE),"")</f>
        <v>https://resolver.staatsbibliothek-berlin.de/HSP0006DF5E00000000</v>
      </c>
      <c r="G66" s="27" t="str">
        <f>IF(COUNTIF('HSP-Abzug'!$A$2:$A$300,B66)=1,VLOOKUP(B66,'HSP-Abzug'!$A$3:$L$301,10,FALSE),"")</f>
        <v>HSP-4e12ceaa-df08-3d6b-9cb8-009306f6f1f3</v>
      </c>
      <c r="H66" s="21" t="str">
        <f>IF(COUNTIF('HSP-Abzug 2'!$A$2:$A$300,B66)=1,VLOOKUP(B66,'HSP-Abzug 2'!$A$3:$P$301,9,FALSE),"")</f>
        <v>https://resolver.staatsbibliothek-berlin.de/HSP0007122000000000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2.5" customHeight="1">
      <c r="A67" s="23">
        <f t="shared" si="1"/>
        <v>66</v>
      </c>
      <c r="B67" s="24" t="str">
        <f t="shared" si="2"/>
        <v>Cod. Donaueschingen 570c</v>
      </c>
      <c r="C67" s="25" t="s">
        <v>1493</v>
      </c>
      <c r="D67" s="26" t="s">
        <v>1494</v>
      </c>
      <c r="E67" s="27" t="str">
        <f>IF(COUNTIF('HSP-Abzug'!$A$2:$A$300,B67)=1,VLOOKUP(B67,'HSP-Abzug'!$A$3:$L$301,7,FALSE),"")</f>
        <v>HSP-dcd2bd6f-7545-39e3-85ab-b12127f55b21</v>
      </c>
      <c r="F67" s="28" t="str">
        <f>IF(COUNTIF('HSP-Abzug'!$A$2:$A$300,B67)=1,VLOOKUP(B67,'HSP-Abzug'!$A$3:$L$301,11,FALSE),"")</f>
        <v>https://resolver.staatsbibliothek-berlin.de/HSP0006DF5F00000000</v>
      </c>
      <c r="G67" s="27" t="str">
        <f>IF(COUNTIF('HSP-Abzug'!$A$2:$A$300,B67)=1,VLOOKUP(B67,'HSP-Abzug'!$A$3:$L$301,10,FALSE),"")</f>
        <v>HSP-0b42866c-aea6-388f-b2b9-8c59d7ed504c</v>
      </c>
      <c r="H67" s="21" t="str">
        <f>IF(COUNTIF('HSP-Abzug 2'!$A$2:$A$300,B67)=1,VLOOKUP(B67,'HSP-Abzug 2'!$A$3:$P$301,9,FALSE),"")</f>
        <v>https://resolver.staatsbibliothek-berlin.de/HSP0007122100000000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2.5" customHeight="1">
      <c r="A68" s="23">
        <f t="shared" si="1"/>
        <v>67</v>
      </c>
      <c r="B68" s="24" t="str">
        <f t="shared" si="2"/>
        <v>Cod. Donaueschingen 612</v>
      </c>
      <c r="C68" s="25">
        <v>612.0</v>
      </c>
      <c r="D68" s="26">
        <v>104.0</v>
      </c>
      <c r="E68" s="27" t="str">
        <f>IF(COUNTIF('HSP-Abzug'!$A$2:$A$300,B68)=1,VLOOKUP(B68,'HSP-Abzug'!$A$3:$L$301,7,FALSE),"")</f>
        <v>HSP-8a170877-463e-31f4-a758-bdc6a3c09ecf</v>
      </c>
      <c r="F68" s="28" t="str">
        <f>IF(COUNTIF('HSP-Abzug'!$A$2:$A$300,B68)=1,VLOOKUP(B68,'HSP-Abzug'!$A$3:$L$301,11,FALSE),"")</f>
        <v>https://resolver.staatsbibliothek-berlin.de/HSP00064F5700000000</v>
      </c>
      <c r="G68" s="27" t="str">
        <f>IF(COUNTIF('HSP-Abzug'!$A$2:$A$300,B68)=1,VLOOKUP(B68,'HSP-Abzug'!$A$3:$L$301,10,FALSE),"")</f>
        <v>HSP-21ddea50-2ec7-336f-a706-07042b42cb81</v>
      </c>
      <c r="H68" s="21" t="str">
        <f>IF(COUNTIF('HSP-Abzug 2'!$A$2:$A$300,B68)=1,VLOOKUP(B68,'HSP-Abzug 2'!$A$3:$P$301,9,FALSE),"")</f>
        <v>https://resolver.staatsbibliothek-berlin.de/HSP0006822300000000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2.5" customHeight="1">
      <c r="A69" s="23">
        <f t="shared" si="1"/>
        <v>68</v>
      </c>
      <c r="B69" s="24" t="str">
        <f t="shared" si="2"/>
        <v>Cod. Donaueschingen 625</v>
      </c>
      <c r="C69" s="25">
        <v>625.0</v>
      </c>
      <c r="D69" s="26">
        <v>103.0</v>
      </c>
      <c r="E69" s="27" t="str">
        <f>IF(COUNTIF('HSP-Abzug'!$A$2:$A$300,B69)=1,VLOOKUP(B69,'HSP-Abzug'!$A$3:$L$301,7,FALSE),"")</f>
        <v>HSP-1c20d26f-9381-347f-ad7e-e9bc7da8c21d</v>
      </c>
      <c r="F69" s="28" t="str">
        <f>IF(COUNTIF('HSP-Abzug'!$A$2:$A$300,B69)=1,VLOOKUP(B69,'HSP-Abzug'!$A$3:$L$301,11,FALSE),"")</f>
        <v>https://resolver.staatsbibliothek-berlin.de/HSP00064F5800000000</v>
      </c>
      <c r="G69" s="27" t="str">
        <f>IF(COUNTIF('HSP-Abzug'!$A$2:$A$300,B69)=1,VLOOKUP(B69,'HSP-Abzug'!$A$3:$L$301,10,FALSE),"")</f>
        <v>HSP-180fe7df-e3e2-4394-88d8-d17423668bb7</v>
      </c>
      <c r="H69" s="21" t="str">
        <f>IF(COUNTIF('HSP-Abzug 2'!$A$2:$A$300,B69)=1,VLOOKUP(B69,'HSP-Abzug 2'!$A$3:$P$301,9,FALSE),"")</f>
        <v>https://resolver.staatsbibliothek-berlin.de/HSP0007127F00000000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2.5" customHeight="1">
      <c r="A70" s="23">
        <f t="shared" si="1"/>
        <v>69</v>
      </c>
      <c r="B70" s="24" t="str">
        <f t="shared" si="2"/>
        <v>Cod. Donaueschingen 650</v>
      </c>
      <c r="C70" s="25">
        <v>650.0</v>
      </c>
      <c r="D70" s="26">
        <v>98.0</v>
      </c>
      <c r="E70" s="27" t="str">
        <f>IF(COUNTIF('HSP-Abzug'!$A$2:$A$300,B70)=1,VLOOKUP(B70,'HSP-Abzug'!$A$3:$L$301,7,FALSE),"")</f>
        <v>HSP-19b15f9f-d104-3442-a027-1669aba3bce4</v>
      </c>
      <c r="F70" s="28" t="str">
        <f>IF(COUNTIF('HSP-Abzug'!$A$2:$A$300,B70)=1,VLOOKUP(B70,'HSP-Abzug'!$A$3:$L$301,11,FALSE),"")</f>
        <v>https://resolver.staatsbibliothek-berlin.de/HSP00064F6000000000</v>
      </c>
      <c r="G70" s="27" t="str">
        <f>IF(COUNTIF('HSP-Abzug'!$A$2:$A$300,B70)=1,VLOOKUP(B70,'HSP-Abzug'!$A$3:$L$301,10,FALSE),"")</f>
        <v>HSP-9c289f9d-af6a-4eea-9b93-756ffb974f99</v>
      </c>
      <c r="H70" s="21" t="str">
        <f>IF(COUNTIF('HSP-Abzug 2'!$A$2:$A$300,B70)=1,VLOOKUP(B70,'HSP-Abzug 2'!$A$3:$P$301,9,FALSE),"")</f>
        <v>https://resolver.staatsbibliothek-berlin.de/HSP0007128000000000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2.5" customHeight="1">
      <c r="A71" s="23">
        <f t="shared" si="1"/>
        <v>70</v>
      </c>
      <c r="B71" s="24" t="str">
        <f t="shared" si="2"/>
        <v>Cod. Donaueschingen 691</v>
      </c>
      <c r="C71" s="25">
        <v>691.0</v>
      </c>
      <c r="D71" s="26">
        <v>94.0</v>
      </c>
      <c r="E71" s="27" t="str">
        <f>IF(COUNTIF('HSP-Abzug'!$A$2:$A$300,B71)=1,VLOOKUP(B71,'HSP-Abzug'!$A$3:$L$301,7,FALSE),"")</f>
        <v>HSP-847dd3cc-9415-3b88-9b6d-2c1934ca43d9</v>
      </c>
      <c r="F71" s="28" t="str">
        <f>IF(COUNTIF('HSP-Abzug'!$A$2:$A$300,B71)=1,VLOOKUP(B71,'HSP-Abzug'!$A$3:$L$301,11,FALSE),"")</f>
        <v>https://resolver.staatsbibliothek-berlin.de/HSP00064F6100000000</v>
      </c>
      <c r="G71" s="27" t="str">
        <f>IF(COUNTIF('HSP-Abzug'!$A$2:$A$300,B71)=1,VLOOKUP(B71,'HSP-Abzug'!$A$3:$L$301,10,FALSE),"")</f>
        <v>HSP-366e2fa6-3d00-3da4-9e90-9d90a88c5e26</v>
      </c>
      <c r="H71" s="21" t="str">
        <f>IF(COUNTIF('HSP-Abzug 2'!$A$2:$A$300,B71)=1,VLOOKUP(B71,'HSP-Abzug 2'!$A$3:$P$301,9,FALSE),"")</f>
        <v>https://resolver.staatsbibliothek-berlin.de/HSP0006DF7400000000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2.5" customHeight="1">
      <c r="A72" s="23">
        <f t="shared" si="1"/>
        <v>71</v>
      </c>
      <c r="B72" s="24" t="str">
        <f t="shared" si="2"/>
        <v>Cod. Donaueschingen 738</v>
      </c>
      <c r="C72" s="25">
        <v>738.0</v>
      </c>
      <c r="D72" s="26">
        <v>39.0</v>
      </c>
      <c r="E72" s="27" t="str">
        <f>IF(COUNTIF('HSP-Abzug'!$A$2:$A$300,B72)=1,VLOOKUP(B72,'HSP-Abzug'!$A$3:$L$301,7,FALSE),"")</f>
        <v>HSP-e799980d-e78f-313b-9354-ce341b84dd20</v>
      </c>
      <c r="F72" s="28" t="str">
        <f>IF(COUNTIF('HSP-Abzug'!$A$2:$A$300,B72)=1,VLOOKUP(B72,'HSP-Abzug'!$A$3:$L$301,11,FALSE),"")</f>
        <v>https://resolver.staatsbibliothek-berlin.de/HSP00064F6200000000</v>
      </c>
      <c r="G72" s="27" t="str">
        <f>IF(COUNTIF('HSP-Abzug'!$A$2:$A$300,B72)=1,VLOOKUP(B72,'HSP-Abzug'!$A$3:$L$301,10,FALSE),"")</f>
        <v>HSP-806b719c-0ac3-3bec-9c97-178b5e44f8cd</v>
      </c>
      <c r="H72" s="21" t="str">
        <f>IF(COUNTIF('HSP-Abzug 2'!$A$2:$A$300,B72)=1,VLOOKUP(B72,'HSP-Abzug 2'!$A$3:$P$301,9,FALSE),"")</f>
        <v>https://resolver.staatsbibliothek-berlin.de/HSP0006DF6B00000000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2.5" customHeight="1">
      <c r="A73" s="23">
        <f t="shared" si="1"/>
        <v>72</v>
      </c>
      <c r="B73" s="24" t="str">
        <f t="shared" si="2"/>
        <v>Cod. Donaueschingen 739</v>
      </c>
      <c r="C73" s="25">
        <v>739.0</v>
      </c>
      <c r="D73" s="26">
        <v>41.0</v>
      </c>
      <c r="E73" s="27" t="str">
        <f>IF(COUNTIF('HSP-Abzug'!$A$2:$A$300,B73)=1,VLOOKUP(B73,'HSP-Abzug'!$A$3:$L$301,7,FALSE),"")</f>
        <v>HSP-86e7b57d-9e79-326a-9f37-1c23c1345116</v>
      </c>
      <c r="F73" s="28" t="str">
        <f>IF(COUNTIF('HSP-Abzug'!$A$2:$A$300,B73)=1,VLOOKUP(B73,'HSP-Abzug'!$A$3:$L$301,11,FALSE),"")</f>
        <v>https://resolver.staatsbibliothek-berlin.de/HSP00064F6300000000</v>
      </c>
      <c r="G73" s="27" t="str">
        <f>IF(COUNTIF('HSP-Abzug'!$A$2:$A$300,B73)=1,VLOOKUP(B73,'HSP-Abzug'!$A$3:$L$301,10,FALSE),"")</f>
        <v>HSP-bfb94392-c4d2-3215-90dc-8873ca3f1ed1</v>
      </c>
      <c r="H73" s="21" t="str">
        <f>IF(COUNTIF('HSP-Abzug 2'!$A$2:$A$300,B73)=1,VLOOKUP(B73,'HSP-Abzug 2'!$A$3:$P$301,9,FALSE),"")</f>
        <v>https://resolver.staatsbibliothek-berlin.de/HSP0006DF6C00000000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2.5" customHeight="1">
      <c r="A74" s="23">
        <f t="shared" si="1"/>
        <v>73</v>
      </c>
      <c r="B74" s="24" t="str">
        <f t="shared" si="2"/>
        <v>Cod. Donaueschingen 740</v>
      </c>
      <c r="C74" s="25">
        <v>740.0</v>
      </c>
      <c r="D74" s="26">
        <v>40.0</v>
      </c>
      <c r="E74" s="27" t="str">
        <f>IF(COUNTIF('HSP-Abzug'!$A$2:$A$300,B74)=1,VLOOKUP(B74,'HSP-Abzug'!$A$3:$L$301,7,FALSE),"")</f>
        <v>HSP-e7d9d3ef-2580-3059-91c4-a54cb062b5d3</v>
      </c>
      <c r="F74" s="28" t="str">
        <f>IF(COUNTIF('HSP-Abzug'!$A$2:$A$300,B74)=1,VLOOKUP(B74,'HSP-Abzug'!$A$3:$L$301,11,FALSE),"")</f>
        <v>https://resolver.staatsbibliothek-berlin.de/HSP00064F6400000000</v>
      </c>
      <c r="G74" s="27" t="str">
        <f>IF(COUNTIF('HSP-Abzug'!$A$2:$A$300,B74)=1,VLOOKUP(B74,'HSP-Abzug'!$A$3:$L$301,10,FALSE),"")</f>
        <v>HSP-5aaac491-ee7c-39eb-a3e3-a3d9d55b6318</v>
      </c>
      <c r="H74" s="21" t="str">
        <f>IF(COUNTIF('HSP-Abzug 2'!$A$2:$A$300,B74)=1,VLOOKUP(B74,'HSP-Abzug 2'!$A$3:$P$301,9,FALSE),"")</f>
        <v>https://resolver.staatsbibliothek-berlin.de/HSP0006DF7100000000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23">
        <f t="shared" si="1"/>
        <v>74</v>
      </c>
      <c r="B75" s="24" t="str">
        <f t="shared" si="2"/>
        <v>Cod. Donaueschingen 741</v>
      </c>
      <c r="C75" s="25">
        <v>741.0</v>
      </c>
      <c r="D75" s="26">
        <v>42.0</v>
      </c>
      <c r="E75" s="27" t="str">
        <f>IF(COUNTIF('HSP-Abzug'!$A$2:$A$300,B75)=1,VLOOKUP(B75,'HSP-Abzug'!$A$3:$L$301,7,FALSE),"")</f>
        <v>HSP-2ff70bf5-237a-33f2-87c4-974cfa9ff927</v>
      </c>
      <c r="F75" s="28" t="str">
        <f>IF(COUNTIF('HSP-Abzug'!$A$2:$A$300,B75)=1,VLOOKUP(B75,'HSP-Abzug'!$A$3:$L$301,11,FALSE),"")</f>
        <v>https://resolver.staatsbibliothek-berlin.de/HSP00064F6500000000</v>
      </c>
      <c r="G75" s="27" t="str">
        <f>IF(COUNTIF('HSP-Abzug'!$A$2:$A$300,B75)=1,VLOOKUP(B75,'HSP-Abzug'!$A$3:$L$301,10,FALSE),"")</f>
        <v>HSP-82132307-fa72-311e-9b6a-9ec8206fb9b7</v>
      </c>
      <c r="H75" s="21" t="str">
        <f>IF(COUNTIF('HSP-Abzug 2'!$A$2:$A$300,B75)=1,VLOOKUP(B75,'HSP-Abzug 2'!$A$3:$P$301,9,FALSE),"")</f>
        <v>https://resolver.staatsbibliothek-berlin.de/HSP0006DF6D00000000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2.5" customHeight="1">
      <c r="A76" s="23">
        <f t="shared" si="1"/>
        <v>75</v>
      </c>
      <c r="B76" s="24" t="str">
        <f t="shared" si="2"/>
        <v>Cod. Donaueschingen 742</v>
      </c>
      <c r="C76" s="25">
        <v>742.0</v>
      </c>
      <c r="D76" s="26" t="s">
        <v>1501</v>
      </c>
      <c r="E76" s="27" t="str">
        <f>IF(COUNTIF('HSP-Abzug'!$A$2:$A$300,B76)=1,VLOOKUP(B76,'HSP-Abzug'!$A$3:$L$301,7,FALSE),"")</f>
        <v>HSP-650bdd1e-398d-3572-a661-7941d5e6b6b0</v>
      </c>
      <c r="F76" s="28" t="str">
        <f>IF(COUNTIF('HSP-Abzug'!$A$2:$A$300,B76)=1,VLOOKUP(B76,'HSP-Abzug'!$A$3:$L$301,11,FALSE),"")</f>
        <v>https://resolver.staatsbibliothek-berlin.de/HSP00064F6600000000</v>
      </c>
      <c r="G76" s="27" t="str">
        <f>IF(COUNTIF('HSP-Abzug'!$A$2:$A$300,B76)=1,VLOOKUP(B76,'HSP-Abzug'!$A$3:$L$301,10,FALSE),"")</f>
        <v>HSP-a7bb0aa3-4ba6-3651-a32d-4e71dc1dc729</v>
      </c>
      <c r="H76" s="21" t="str">
        <f>IF(COUNTIF('HSP-Abzug 2'!$A$2:$A$300,B76)=1,VLOOKUP(B76,'HSP-Abzug 2'!$A$3:$P$301,9,FALSE),"")</f>
        <v>https://resolver.staatsbibliothek-berlin.de/HSP0006DF7300000000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2.5" customHeight="1">
      <c r="A77" s="23">
        <f t="shared" si="1"/>
        <v>76</v>
      </c>
      <c r="B77" s="24" t="str">
        <f t="shared" si="2"/>
        <v>Cod. Donaueschingen 746</v>
      </c>
      <c r="C77" s="25">
        <v>746.0</v>
      </c>
      <c r="D77" s="26">
        <v>240.0</v>
      </c>
      <c r="E77" s="27" t="str">
        <f>IF(COUNTIF('HSP-Abzug'!$A$2:$A$300,B77)=1,VLOOKUP(B77,'HSP-Abzug'!$A$3:$L$301,7,FALSE),"")</f>
        <v>HSP-555ed29d-bcf2-3296-a1d1-ea9cb92b65f5</v>
      </c>
      <c r="F77" s="28" t="str">
        <f>IF(COUNTIF('HSP-Abzug'!$A$2:$A$300,B77)=1,VLOOKUP(B77,'HSP-Abzug'!$A$3:$L$301,11,FALSE),"")</f>
        <v>https://resolver.staatsbibliothek-berlin.de/HSP00064F6A00000000</v>
      </c>
      <c r="G77" s="27" t="str">
        <f>IF(COUNTIF('HSP-Abzug'!$A$2:$A$300,B77)=1,VLOOKUP(B77,'HSP-Abzug'!$A$3:$L$301,10,FALSE),"")</f>
        <v>HSP-65103f14-d61d-3f71-9412-73c0081658f7</v>
      </c>
      <c r="H77" s="21" t="str">
        <f>IF(COUNTIF('HSP-Abzug 2'!$A$2:$A$300,B77)=1,VLOOKUP(B77,'HSP-Abzug 2'!$A$3:$P$301,9,FALSE),"")</f>
        <v>https://resolver.staatsbibliothek-berlin.de/HSP0006DF7200000000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2.5" customHeight="1">
      <c r="A78" s="23">
        <f t="shared" si="1"/>
        <v>77</v>
      </c>
      <c r="B78" s="24" t="str">
        <f t="shared" si="2"/>
        <v>Cod. Donaueschingen 748</v>
      </c>
      <c r="C78" s="25">
        <v>748.0</v>
      </c>
      <c r="D78" s="26">
        <v>46.0</v>
      </c>
      <c r="E78" s="27" t="str">
        <f>IF(COUNTIF('HSP-Abzug'!$A$2:$A$300,B78)=1,VLOOKUP(B78,'HSP-Abzug'!$A$3:$L$301,7,FALSE),"")</f>
        <v>HSP-9c6160b9-43c9-330b-97b3-63b6947398ae</v>
      </c>
      <c r="F78" s="28" t="str">
        <f>IF(COUNTIF('HSP-Abzug'!$A$2:$A$300,B78)=1,VLOOKUP(B78,'HSP-Abzug'!$A$3:$L$301,11,FALSE),"")</f>
        <v>https://resolver.staatsbibliothek-berlin.de/HSP00064F6C00000000</v>
      </c>
      <c r="G78" s="27" t="str">
        <f>IF(COUNTIF('HSP-Abzug'!$A$2:$A$300,B78)=1,VLOOKUP(B78,'HSP-Abzug'!$A$3:$L$301,10,FALSE),"")</f>
        <v>HSP-9c5fe88f-4519-3b0d-8531-adc7de45271f</v>
      </c>
      <c r="H78" s="21" t="str">
        <f>IF(COUNTIF('HSP-Abzug 2'!$A$2:$A$300,B78)=1,VLOOKUP(B78,'HSP-Abzug 2'!$A$3:$P$301,9,FALSE),"")</f>
        <v>https://resolver.staatsbibliothek-berlin.de/HSP0006822500000000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2.5" customHeight="1">
      <c r="A79" s="23">
        <f t="shared" si="1"/>
        <v>78</v>
      </c>
      <c r="B79" s="24" t="str">
        <f t="shared" si="2"/>
        <v>Cod. Donaueschingen 792</v>
      </c>
      <c r="C79" s="25">
        <v>792.0</v>
      </c>
      <c r="D79" s="26">
        <v>68.0</v>
      </c>
      <c r="E79" s="27" t="str">
        <f>IF(COUNTIF('HSP-Abzug'!$A$2:$A$300,B79)=1,VLOOKUP(B79,'HSP-Abzug'!$A$3:$L$301,7,FALSE),"")</f>
        <v>HSP-a84b438e-8984-3c4d-a05d-8dfa51c64554</v>
      </c>
      <c r="F79" s="28" t="str">
        <f>IF(COUNTIF('HSP-Abzug'!$A$2:$A$300,B79)=1,VLOOKUP(B79,'HSP-Abzug'!$A$3:$L$301,11,FALSE),"")</f>
        <v>https://resolver.staatsbibliothek-berlin.de/HSP00064F7000000000</v>
      </c>
      <c r="G79" s="27" t="str">
        <f>IF(COUNTIF('HSP-Abzug'!$A$2:$A$300,B79)=1,VLOOKUP(B79,'HSP-Abzug'!$A$3:$L$301,10,FALSE),"")</f>
        <v>HSP-9bbf2f83-82ac-3949-ae54-33590342f5b8</v>
      </c>
      <c r="H79" s="21" t="str">
        <f>IF(COUNTIF('HSP-Abzug 2'!$A$2:$A$300,B79)=1,VLOOKUP(B79,'HSP-Abzug 2'!$A$3:$P$301,9,FALSE),"")</f>
        <v>https://resolver.staatsbibliothek-berlin.de/HSP0007102800000000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2.5" customHeight="1">
      <c r="A80" s="23">
        <f t="shared" si="1"/>
        <v>79</v>
      </c>
      <c r="B80" s="24" t="str">
        <f t="shared" si="2"/>
        <v>Cod. Donaueschingen A III 28</v>
      </c>
      <c r="C80" s="25" t="s">
        <v>1502</v>
      </c>
      <c r="D80" s="26" t="s">
        <v>37</v>
      </c>
      <c r="E80" s="27" t="str">
        <f>IF(COUNTIF('HSP-Abzug'!$A$2:$A$300,B80)=1,VLOOKUP(B80,'HSP-Abzug'!$A$3:$L$301,7,FALSE),"")</f>
        <v>HSP-beafff94-3ba2-3968-a2e6-7a2b840548fa</v>
      </c>
      <c r="F80" s="28" t="str">
        <f>IF(COUNTIF('HSP-Abzug'!$A$2:$A$300,B80)=1,VLOOKUP(B80,'HSP-Abzug'!$A$3:$L$301,11,FALSE),"")</f>
        <v>https://resolver.staatsbibliothek-berlin.de/HSP00053A2300000000</v>
      </c>
      <c r="G80" s="27" t="str">
        <f>IF(COUNTIF('HSP-Abzug'!$A$2:$A$300,B80)=1,VLOOKUP(B80,'HSP-Abzug'!$A$3:$L$301,10,FALSE),"")</f>
        <v>HSP-d6d7b4f9-2549-348a-bc96-2adde73bd4c5</v>
      </c>
      <c r="H80" s="21" t="str">
        <f>IF(COUNTIF('HSP-Abzug 2'!$A$2:$A$300,B80)=1,VLOOKUP(B80,'HSP-Abzug 2'!$A$3:$P$301,9,FALSE),"")</f>
        <v>https://resolver.staatsbibliothek-berlin.de/HSP00062FCB00000000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2.5" customHeight="1">
      <c r="A81" s="23">
        <f t="shared" si="1"/>
        <v>80</v>
      </c>
      <c r="B81" s="24" t="str">
        <f t="shared" si="2"/>
        <v>Cod. Donaueschingen C III b 27</v>
      </c>
      <c r="C81" s="25" t="s">
        <v>1503</v>
      </c>
      <c r="D81" s="26" t="s">
        <v>37</v>
      </c>
      <c r="E81" s="27" t="str">
        <f>IF(COUNTIF('HSP-Abzug'!$A$2:$A$300,B81)=1,VLOOKUP(B81,'HSP-Abzug'!$A$3:$L$301,7,FALSE),"")</f>
        <v>HSP-5d43fa81-13af-3295-adac-f604ad90b5ae</v>
      </c>
      <c r="F81" s="28" t="str">
        <f>IF(COUNTIF('HSP-Abzug'!$A$2:$A$300,B81)=1,VLOOKUP(B81,'HSP-Abzug'!$A$3:$L$301,11,FALSE),"")</f>
        <v>https://resolver.staatsbibliothek-berlin.de/HSP00064F8700000000</v>
      </c>
      <c r="G81" s="27" t="str">
        <f>IF(COUNTIF('HSP-Abzug'!$A$2:$A$300,B81)=1,VLOOKUP(B81,'HSP-Abzug'!$A$3:$L$301,10,FALSE),"")</f>
        <v>HSP-be5141fb-8705-3396-ac32-139de39e2e6f</v>
      </c>
      <c r="H81" s="21" t="str">
        <f>IF(COUNTIF('HSP-Abzug 2'!$A$2:$A$300,B81)=1,VLOOKUP(B81,'HSP-Abzug 2'!$A$3:$P$301,9,FALSE),"")</f>
        <v>https://resolver.staatsbibliothek-berlin.de/HSP000711E900000000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2.5" customHeight="1">
      <c r="A82" s="23">
        <f t="shared" si="1"/>
        <v>81</v>
      </c>
      <c r="B82" s="24" t="str">
        <f t="shared" si="2"/>
        <v>Cod. Donaueschingen C III b 31</v>
      </c>
      <c r="C82" s="25" t="s">
        <v>1504</v>
      </c>
      <c r="D82" s="26" t="s">
        <v>37</v>
      </c>
      <c r="E82" s="27" t="str">
        <f>IF(COUNTIF('HSP-Abzug'!$A$2:$A$300,B82)=1,VLOOKUP(B82,'HSP-Abzug'!$A$3:$L$301,7,FALSE),"")</f>
        <v>HSP-35e4f217-892d-3d16-9d31-55e50126554c</v>
      </c>
      <c r="F82" s="28" t="str">
        <f>IF(COUNTIF('HSP-Abzug'!$A$2:$A$300,B82)=1,VLOOKUP(B82,'HSP-Abzug'!$A$3:$L$301,11,FALSE),"")</f>
        <v>https://resolver.staatsbibliothek-berlin.de/HSP00064F8800000000</v>
      </c>
      <c r="G82" s="27" t="str">
        <f>IF(COUNTIF('HSP-Abzug'!$A$2:$A$300,B82)=1,VLOOKUP(B82,'HSP-Abzug'!$A$3:$L$301,10,FALSE),"")</f>
        <v>HSP-857f213e-2c3f-4345-9bcd-9ac1591e7ebe</v>
      </c>
      <c r="H82" s="21" t="str">
        <f>IF(COUNTIF('HSP-Abzug 2'!$A$2:$A$300,B82)=1,VLOOKUP(B82,'HSP-Abzug 2'!$A$3:$P$301,9,FALSE),"")</f>
        <v>https://resolver.staatsbibliothek-berlin.de/HSP0007128200000000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2.5" customHeight="1">
      <c r="A83" s="23">
        <f t="shared" si="1"/>
        <v>82</v>
      </c>
      <c r="B83" s="24" t="str">
        <f t="shared" si="2"/>
        <v>Cod. Donaueschingen D 10a</v>
      </c>
      <c r="C83" s="25" t="s">
        <v>1505</v>
      </c>
      <c r="D83" s="26" t="s">
        <v>37</v>
      </c>
      <c r="E83" s="27" t="str">
        <f>IF(COUNTIF('HSP-Abzug'!$A$2:$A$300,B83)=1,VLOOKUP(B83,'HSP-Abzug'!$A$3:$L$301,7,FALSE),"")</f>
        <v>HSP-bd6cfa47-d6d9-3c40-971f-64f8a3796224</v>
      </c>
      <c r="F83" s="28" t="str">
        <f>IF(COUNTIF('HSP-Abzug'!$A$2:$A$300,B83)=1,VLOOKUP(B83,'HSP-Abzug'!$A$3:$L$301,11,FALSE),"")</f>
        <v>https://resolver.staatsbibliothek-berlin.de/HSP00064F8D00000000</v>
      </c>
      <c r="G83" s="27" t="str">
        <f>IF(COUNTIF('HSP-Abzug'!$A$2:$A$300,B83)=1,VLOOKUP(B83,'HSP-Abzug'!$A$3:$L$301,10,FALSE),"")</f>
        <v>HSP-af200c2f-2ad8-3ca2-bad7-dc940e796bd9</v>
      </c>
      <c r="H83" s="21" t="str">
        <f>IF(COUNTIF('HSP-Abzug 2'!$A$2:$A$300,B83)=1,VLOOKUP(B83,'HSP-Abzug 2'!$A$3:$P$301,9,FALSE),"")</f>
        <v>https://resolver.staatsbibliothek-berlin.de/HSP0006DF7A00000000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32"/>
      <c r="B84" s="33"/>
      <c r="C84" s="34"/>
      <c r="D84" s="3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32"/>
      <c r="B85" s="33"/>
      <c r="C85" s="34"/>
      <c r="D85" s="3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32"/>
      <c r="B86" s="33"/>
      <c r="C86" s="34"/>
      <c r="D86" s="3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32"/>
      <c r="B87" s="33"/>
      <c r="C87" s="34"/>
      <c r="D87" s="3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32"/>
      <c r="B88" s="33"/>
      <c r="C88" s="34"/>
      <c r="D88" s="3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2"/>
      <c r="B89" s="33"/>
      <c r="C89" s="34"/>
      <c r="D89" s="3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32"/>
      <c r="B90" s="33"/>
      <c r="C90" s="34"/>
      <c r="D90" s="3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32"/>
      <c r="B91" s="33"/>
      <c r="C91" s="34"/>
      <c r="D91" s="3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32"/>
      <c r="B92" s="33"/>
      <c r="C92" s="34"/>
      <c r="D92" s="3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32"/>
      <c r="B93" s="33"/>
      <c r="C93" s="34"/>
      <c r="D93" s="3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32"/>
      <c r="B94" s="33"/>
      <c r="C94" s="34"/>
      <c r="D94" s="3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32"/>
      <c r="B95" s="33"/>
      <c r="C95" s="34"/>
      <c r="D95" s="3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32"/>
      <c r="B96" s="33"/>
      <c r="C96" s="34"/>
      <c r="D96" s="3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32"/>
      <c r="B97" s="33"/>
      <c r="C97" s="34"/>
      <c r="D97" s="3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32"/>
      <c r="B98" s="33"/>
      <c r="C98" s="34"/>
      <c r="D98" s="3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32"/>
      <c r="B99" s="33"/>
      <c r="C99" s="34"/>
      <c r="D99" s="3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32"/>
      <c r="B100" s="33"/>
      <c r="C100" s="34"/>
      <c r="D100" s="3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32"/>
      <c r="B101" s="33"/>
      <c r="C101" s="34"/>
      <c r="D101" s="3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32"/>
      <c r="B102" s="33"/>
      <c r="C102" s="34"/>
      <c r="D102" s="3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32"/>
      <c r="B103" s="33"/>
      <c r="C103" s="34"/>
      <c r="D103" s="3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32"/>
      <c r="B104" s="33"/>
      <c r="C104" s="34"/>
      <c r="D104" s="3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2"/>
      <c r="B105" s="33"/>
      <c r="C105" s="34"/>
      <c r="D105" s="3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32"/>
      <c r="B106" s="33"/>
      <c r="C106" s="34"/>
      <c r="D106" s="3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32"/>
      <c r="B107" s="33"/>
      <c r="C107" s="34"/>
      <c r="D107" s="3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32"/>
      <c r="B108" s="33"/>
      <c r="C108" s="34"/>
      <c r="D108" s="3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32"/>
      <c r="B109" s="33"/>
      <c r="C109" s="34"/>
      <c r="D109" s="3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32"/>
      <c r="B110" s="33"/>
      <c r="C110" s="34"/>
      <c r="D110" s="3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32"/>
      <c r="B111" s="33"/>
      <c r="C111" s="34"/>
      <c r="D111" s="3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32"/>
      <c r="B112" s="33"/>
      <c r="C112" s="34"/>
      <c r="D112" s="3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32"/>
      <c r="B113" s="33"/>
      <c r="C113" s="34"/>
      <c r="D113" s="3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32"/>
      <c r="B114" s="33"/>
      <c r="C114" s="34"/>
      <c r="D114" s="3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32"/>
      <c r="B115" s="33"/>
      <c r="C115" s="34"/>
      <c r="D115" s="3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32"/>
      <c r="B116" s="33"/>
      <c r="C116" s="34"/>
      <c r="D116" s="3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32"/>
      <c r="B117" s="33"/>
      <c r="C117" s="34"/>
      <c r="D117" s="3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32"/>
      <c r="B118" s="33"/>
      <c r="C118" s="34"/>
      <c r="D118" s="3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32"/>
      <c r="B119" s="33"/>
      <c r="C119" s="34"/>
      <c r="D119" s="3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32"/>
      <c r="B120" s="33"/>
      <c r="C120" s="34"/>
      <c r="D120" s="3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32"/>
      <c r="B121" s="33"/>
      <c r="C121" s="34"/>
      <c r="D121" s="3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32"/>
      <c r="B122" s="33"/>
      <c r="C122" s="34"/>
      <c r="D122" s="3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32"/>
      <c r="B123" s="33"/>
      <c r="C123" s="34"/>
      <c r="D123" s="3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2"/>
      <c r="B124" s="33"/>
      <c r="C124" s="34"/>
      <c r="D124" s="3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32"/>
      <c r="B125" s="33"/>
      <c r="C125" s="34"/>
      <c r="D125" s="3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32"/>
      <c r="B126" s="33"/>
      <c r="C126" s="34"/>
      <c r="D126" s="3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32"/>
      <c r="B127" s="33"/>
      <c r="C127" s="34"/>
      <c r="D127" s="3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32"/>
      <c r="B128" s="33"/>
      <c r="C128" s="34"/>
      <c r="D128" s="3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32"/>
      <c r="B129" s="33"/>
      <c r="C129" s="34"/>
      <c r="D129" s="3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32"/>
      <c r="B130" s="33"/>
      <c r="C130" s="34"/>
      <c r="D130" s="3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32"/>
      <c r="B131" s="33"/>
      <c r="C131" s="34"/>
      <c r="D131" s="3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32"/>
      <c r="B132" s="33"/>
      <c r="C132" s="34"/>
      <c r="D132" s="3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32"/>
      <c r="B133" s="33"/>
      <c r="C133" s="34"/>
      <c r="D133" s="3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32"/>
      <c r="B134" s="33"/>
      <c r="C134" s="34"/>
      <c r="D134" s="3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32"/>
      <c r="B135" s="33"/>
      <c r="C135" s="34"/>
      <c r="D135" s="3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32"/>
      <c r="B136" s="33"/>
      <c r="C136" s="34"/>
      <c r="D136" s="3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32"/>
      <c r="B137" s="33"/>
      <c r="C137" s="34"/>
      <c r="D137" s="3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32"/>
      <c r="B138" s="33"/>
      <c r="C138" s="34"/>
      <c r="D138" s="3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32"/>
      <c r="B139" s="33"/>
      <c r="C139" s="34"/>
      <c r="D139" s="3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32"/>
      <c r="B140" s="33"/>
      <c r="C140" s="34"/>
      <c r="D140" s="3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32"/>
      <c r="B141" s="33"/>
      <c r="C141" s="34"/>
      <c r="D141" s="3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32"/>
      <c r="B142" s="33"/>
      <c r="C142" s="34"/>
      <c r="D142" s="3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2"/>
      <c r="B143" s="33"/>
      <c r="C143" s="34"/>
      <c r="D143" s="3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32"/>
      <c r="B144" s="33"/>
      <c r="C144" s="34"/>
      <c r="D144" s="3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32"/>
      <c r="B145" s="33"/>
      <c r="C145" s="34"/>
      <c r="D145" s="3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32"/>
      <c r="B146" s="33"/>
      <c r="C146" s="34"/>
      <c r="D146" s="3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32"/>
      <c r="B147" s="33"/>
      <c r="C147" s="34"/>
      <c r="D147" s="3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32"/>
      <c r="B148" s="33"/>
      <c r="C148" s="34"/>
      <c r="D148" s="3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32"/>
      <c r="B149" s="33"/>
      <c r="C149" s="34"/>
      <c r="D149" s="3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32"/>
      <c r="B150" s="33"/>
      <c r="C150" s="34"/>
      <c r="D150" s="3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32"/>
      <c r="B151" s="33"/>
      <c r="C151" s="34"/>
      <c r="D151" s="3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32"/>
      <c r="B152" s="33"/>
      <c r="C152" s="34"/>
      <c r="D152" s="3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32"/>
      <c r="B153" s="33"/>
      <c r="C153" s="34"/>
      <c r="D153" s="3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32"/>
      <c r="B154" s="33"/>
      <c r="C154" s="34"/>
      <c r="D154" s="3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32"/>
      <c r="B155" s="33"/>
      <c r="C155" s="34"/>
      <c r="D155" s="3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32"/>
      <c r="B156" s="33"/>
      <c r="C156" s="34"/>
      <c r="D156" s="3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32"/>
      <c r="B157" s="33"/>
      <c r="C157" s="34"/>
      <c r="D157" s="3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32"/>
      <c r="B158" s="33"/>
      <c r="C158" s="34"/>
      <c r="D158" s="3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32"/>
      <c r="B159" s="33"/>
      <c r="C159" s="34"/>
      <c r="D159" s="3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32"/>
      <c r="B160" s="33"/>
      <c r="C160" s="34"/>
      <c r="D160" s="3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32"/>
      <c r="B161" s="33"/>
      <c r="C161" s="34"/>
      <c r="D161" s="3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32"/>
      <c r="B162" s="33"/>
      <c r="C162" s="34"/>
      <c r="D162" s="3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32"/>
      <c r="B163" s="33"/>
      <c r="C163" s="34"/>
      <c r="D163" s="3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32"/>
      <c r="B164" s="33"/>
      <c r="C164" s="34"/>
      <c r="D164" s="3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32"/>
      <c r="B165" s="33"/>
      <c r="C165" s="34"/>
      <c r="D165" s="3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32"/>
      <c r="B166" s="33"/>
      <c r="C166" s="34"/>
      <c r="D166" s="3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32"/>
      <c r="B167" s="33"/>
      <c r="C167" s="34"/>
      <c r="D167" s="3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32"/>
      <c r="B168" s="33"/>
      <c r="C168" s="34"/>
      <c r="D168" s="3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32"/>
      <c r="B169" s="33"/>
      <c r="C169" s="34"/>
      <c r="D169" s="3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32"/>
      <c r="B170" s="33"/>
      <c r="C170" s="34"/>
      <c r="D170" s="3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32"/>
      <c r="B171" s="33"/>
      <c r="C171" s="34"/>
      <c r="D171" s="3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32"/>
      <c r="B172" s="33"/>
      <c r="C172" s="34"/>
      <c r="D172" s="3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32"/>
      <c r="B173" s="33"/>
      <c r="C173" s="34"/>
      <c r="D173" s="3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32"/>
      <c r="B174" s="33"/>
      <c r="C174" s="34"/>
      <c r="D174" s="3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32"/>
      <c r="B175" s="33"/>
      <c r="C175" s="34"/>
      <c r="D175" s="3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32"/>
      <c r="B176" s="33"/>
      <c r="C176" s="34"/>
      <c r="D176" s="3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32"/>
      <c r="B177" s="33"/>
      <c r="C177" s="34"/>
      <c r="D177" s="3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32"/>
      <c r="B178" s="33"/>
      <c r="C178" s="34"/>
      <c r="D178" s="3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32"/>
      <c r="B179" s="33"/>
      <c r="C179" s="34"/>
      <c r="D179" s="3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32"/>
      <c r="B180" s="33"/>
      <c r="C180" s="34"/>
      <c r="D180" s="3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32"/>
      <c r="B181" s="33"/>
      <c r="C181" s="34"/>
      <c r="D181" s="3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32"/>
      <c r="B182" s="33"/>
      <c r="C182" s="34"/>
      <c r="D182" s="3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32"/>
      <c r="B183" s="33"/>
      <c r="C183" s="34"/>
      <c r="D183" s="3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32"/>
      <c r="B184" s="33"/>
      <c r="C184" s="34"/>
      <c r="D184" s="3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32"/>
      <c r="B185" s="33"/>
      <c r="C185" s="34"/>
      <c r="D185" s="3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32"/>
      <c r="B186" s="33"/>
      <c r="C186" s="34"/>
      <c r="D186" s="3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32"/>
      <c r="B187" s="33"/>
      <c r="C187" s="34"/>
      <c r="D187" s="3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2"/>
      <c r="B188" s="33"/>
      <c r="C188" s="34"/>
      <c r="D188" s="3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32"/>
      <c r="B189" s="33"/>
      <c r="C189" s="34"/>
      <c r="D189" s="3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32"/>
      <c r="B190" s="33"/>
      <c r="C190" s="34"/>
      <c r="D190" s="3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32"/>
      <c r="B191" s="33"/>
      <c r="C191" s="34"/>
      <c r="D191" s="3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32"/>
      <c r="B192" s="33"/>
      <c r="C192" s="34"/>
      <c r="D192" s="3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32"/>
      <c r="B193" s="33"/>
      <c r="C193" s="34"/>
      <c r="D193" s="3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32"/>
      <c r="B194" s="33"/>
      <c r="C194" s="34"/>
      <c r="D194" s="3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32"/>
      <c r="B195" s="33"/>
      <c r="C195" s="34"/>
      <c r="D195" s="3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32"/>
      <c r="B196" s="33"/>
      <c r="C196" s="34"/>
      <c r="D196" s="3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32"/>
      <c r="B197" s="33"/>
      <c r="C197" s="34"/>
      <c r="D197" s="3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32"/>
      <c r="B198" s="33"/>
      <c r="C198" s="34"/>
      <c r="D198" s="3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32"/>
      <c r="B199" s="33"/>
      <c r="C199" s="34"/>
      <c r="D199" s="3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32"/>
      <c r="B200" s="33"/>
      <c r="C200" s="34"/>
      <c r="D200" s="3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32"/>
      <c r="B201" s="33"/>
      <c r="C201" s="34"/>
      <c r="D201" s="3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32"/>
      <c r="B202" s="33"/>
      <c r="C202" s="34"/>
      <c r="D202" s="3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32"/>
      <c r="B203" s="33"/>
      <c r="C203" s="34"/>
      <c r="D203" s="3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32"/>
      <c r="B204" s="33"/>
      <c r="C204" s="34"/>
      <c r="D204" s="3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32"/>
      <c r="B205" s="33"/>
      <c r="C205" s="34"/>
      <c r="D205" s="3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32"/>
      <c r="B206" s="33"/>
      <c r="C206" s="34"/>
      <c r="D206" s="3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32"/>
      <c r="B207" s="33"/>
      <c r="C207" s="34"/>
      <c r="D207" s="3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32"/>
      <c r="B208" s="33"/>
      <c r="C208" s="34"/>
      <c r="D208" s="3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32"/>
      <c r="B209" s="33"/>
      <c r="C209" s="34"/>
      <c r="D209" s="3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32"/>
      <c r="B210" s="33"/>
      <c r="C210" s="34"/>
      <c r="D210" s="3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32"/>
      <c r="B211" s="33"/>
      <c r="C211" s="34"/>
      <c r="D211" s="3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32"/>
      <c r="B212" s="33"/>
      <c r="C212" s="34"/>
      <c r="D212" s="3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32"/>
      <c r="B213" s="33"/>
      <c r="C213" s="34"/>
      <c r="D213" s="3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32"/>
      <c r="B214" s="33"/>
      <c r="C214" s="34"/>
      <c r="D214" s="3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32"/>
      <c r="B215" s="33"/>
      <c r="C215" s="34"/>
      <c r="D215" s="3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32"/>
      <c r="B216" s="33"/>
      <c r="C216" s="34"/>
      <c r="D216" s="3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32"/>
      <c r="B217" s="33"/>
      <c r="C217" s="34"/>
      <c r="D217" s="3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32"/>
      <c r="B218" s="33"/>
      <c r="C218" s="34"/>
      <c r="D218" s="3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32"/>
      <c r="B219" s="33"/>
      <c r="C219" s="34"/>
      <c r="D219" s="3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32"/>
      <c r="B220" s="33"/>
      <c r="C220" s="34"/>
      <c r="D220" s="3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32"/>
      <c r="B221" s="33"/>
      <c r="C221" s="34"/>
      <c r="D221" s="3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32"/>
      <c r="B222" s="33"/>
      <c r="C222" s="34"/>
      <c r="D222" s="3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32"/>
      <c r="B223" s="33"/>
      <c r="C223" s="34"/>
      <c r="D223" s="3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32"/>
      <c r="B224" s="33"/>
      <c r="C224" s="34"/>
      <c r="D224" s="3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32"/>
      <c r="B225" s="33"/>
      <c r="C225" s="34"/>
      <c r="D225" s="3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32"/>
      <c r="B226" s="33"/>
      <c r="C226" s="34"/>
      <c r="D226" s="3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32"/>
      <c r="B227" s="33"/>
      <c r="C227" s="34"/>
      <c r="D227" s="3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32"/>
      <c r="B228" s="33"/>
      <c r="C228" s="34"/>
      <c r="D228" s="3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32"/>
      <c r="B229" s="33"/>
      <c r="C229" s="34"/>
      <c r="D229" s="3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32"/>
      <c r="B230" s="33"/>
      <c r="C230" s="34"/>
      <c r="D230" s="3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32"/>
      <c r="B231" s="33"/>
      <c r="C231" s="34"/>
      <c r="D231" s="3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32"/>
      <c r="B232" s="33"/>
      <c r="C232" s="34"/>
      <c r="D232" s="3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32"/>
      <c r="B233" s="33"/>
      <c r="C233" s="34"/>
      <c r="D233" s="3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32"/>
      <c r="B234" s="33"/>
      <c r="C234" s="34"/>
      <c r="D234" s="3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32"/>
      <c r="B235" s="33"/>
      <c r="C235" s="34"/>
      <c r="D235" s="3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32"/>
      <c r="B236" s="33"/>
      <c r="C236" s="34"/>
      <c r="D236" s="3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32"/>
      <c r="B237" s="33"/>
      <c r="C237" s="34"/>
      <c r="D237" s="3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32"/>
      <c r="B238" s="33"/>
      <c r="C238" s="34"/>
      <c r="D238" s="3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32"/>
      <c r="B239" s="33"/>
      <c r="C239" s="34"/>
      <c r="D239" s="3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32"/>
      <c r="B240" s="33"/>
      <c r="C240" s="34"/>
      <c r="D240" s="3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32"/>
      <c r="B241" s="33"/>
      <c r="C241" s="34"/>
      <c r="D241" s="3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32"/>
      <c r="B242" s="33"/>
      <c r="C242" s="34"/>
      <c r="D242" s="3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32"/>
      <c r="B243" s="33"/>
      <c r="C243" s="34"/>
      <c r="D243" s="3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32"/>
      <c r="B244" s="33"/>
      <c r="C244" s="34"/>
      <c r="D244" s="3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32"/>
      <c r="B245" s="33"/>
      <c r="C245" s="34"/>
      <c r="D245" s="3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32"/>
      <c r="B246" s="33"/>
      <c r="C246" s="34"/>
      <c r="D246" s="3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32"/>
      <c r="B247" s="33"/>
      <c r="C247" s="34"/>
      <c r="D247" s="3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32"/>
      <c r="B248" s="33"/>
      <c r="C248" s="34"/>
      <c r="D248" s="3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32"/>
      <c r="B249" s="33"/>
      <c r="C249" s="34"/>
      <c r="D249" s="3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32"/>
      <c r="B250" s="33"/>
      <c r="C250" s="34"/>
      <c r="D250" s="3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32"/>
      <c r="B251" s="33"/>
      <c r="C251" s="34"/>
      <c r="D251" s="3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32"/>
      <c r="B252" s="33"/>
      <c r="C252" s="34"/>
      <c r="D252" s="3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32"/>
      <c r="B253" s="33"/>
      <c r="C253" s="34"/>
      <c r="D253" s="3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32"/>
      <c r="B254" s="33"/>
      <c r="C254" s="34"/>
      <c r="D254" s="3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32"/>
      <c r="B255" s="33"/>
      <c r="C255" s="34"/>
      <c r="D255" s="3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32"/>
      <c r="B256" s="33"/>
      <c r="C256" s="34"/>
      <c r="D256" s="3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32"/>
      <c r="B257" s="33"/>
      <c r="C257" s="34"/>
      <c r="D257" s="3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32"/>
      <c r="B258" s="33"/>
      <c r="C258" s="34"/>
      <c r="D258" s="3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32"/>
      <c r="B259" s="33"/>
      <c r="C259" s="34"/>
      <c r="D259" s="3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32"/>
      <c r="B260" s="33"/>
      <c r="C260" s="34"/>
      <c r="D260" s="3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32"/>
      <c r="B261" s="33"/>
      <c r="C261" s="34"/>
      <c r="D261" s="3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32"/>
      <c r="B262" s="33"/>
      <c r="C262" s="34"/>
      <c r="D262" s="3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32"/>
      <c r="B263" s="33"/>
      <c r="C263" s="34"/>
      <c r="D263" s="3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32"/>
      <c r="B264" s="33"/>
      <c r="C264" s="34"/>
      <c r="D264" s="3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32"/>
      <c r="B265" s="33"/>
      <c r="C265" s="34"/>
      <c r="D265" s="3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32"/>
      <c r="B266" s="33"/>
      <c r="C266" s="34"/>
      <c r="D266" s="3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32"/>
      <c r="B267" s="33"/>
      <c r="C267" s="34"/>
      <c r="D267" s="3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32"/>
      <c r="B268" s="33"/>
      <c r="C268" s="34"/>
      <c r="D268" s="3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32"/>
      <c r="B269" s="33"/>
      <c r="C269" s="34"/>
      <c r="D269" s="3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32"/>
      <c r="B270" s="33"/>
      <c r="C270" s="34"/>
      <c r="D270" s="3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32"/>
      <c r="B271" s="33"/>
      <c r="C271" s="34"/>
      <c r="D271" s="3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32"/>
      <c r="B272" s="33"/>
      <c r="C272" s="34"/>
      <c r="D272" s="3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32"/>
      <c r="B273" s="33"/>
      <c r="C273" s="34"/>
      <c r="D273" s="3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32"/>
      <c r="B274" s="33"/>
      <c r="C274" s="34"/>
      <c r="D274" s="3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32"/>
      <c r="B275" s="33"/>
      <c r="C275" s="34"/>
      <c r="D275" s="3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32"/>
      <c r="B276" s="33"/>
      <c r="C276" s="34"/>
      <c r="D276" s="3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32"/>
      <c r="B277" s="33"/>
      <c r="C277" s="34"/>
      <c r="D277" s="3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32"/>
      <c r="B278" s="33"/>
      <c r="C278" s="34"/>
      <c r="D278" s="3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32"/>
      <c r="B279" s="33"/>
      <c r="C279" s="34"/>
      <c r="D279" s="3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32"/>
      <c r="B280" s="33"/>
      <c r="C280" s="34"/>
      <c r="D280" s="3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32"/>
      <c r="B281" s="33"/>
      <c r="C281" s="34"/>
      <c r="D281" s="3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32"/>
      <c r="B282" s="33"/>
      <c r="C282" s="34"/>
      <c r="D282" s="3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32"/>
      <c r="B283" s="33"/>
      <c r="C283" s="34"/>
      <c r="D283" s="3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32"/>
      <c r="B284" s="33"/>
      <c r="C284" s="34"/>
      <c r="D284" s="3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32"/>
      <c r="B285" s="33"/>
      <c r="C285" s="34"/>
      <c r="D285" s="3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32"/>
      <c r="B286" s="33"/>
      <c r="C286" s="34"/>
      <c r="D286" s="3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32"/>
      <c r="B287" s="33"/>
      <c r="C287" s="34"/>
      <c r="D287" s="3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32"/>
      <c r="B288" s="33"/>
      <c r="C288" s="34"/>
      <c r="D288" s="3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32"/>
      <c r="B289" s="33"/>
      <c r="C289" s="34"/>
      <c r="D289" s="3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32"/>
      <c r="B290" s="33"/>
      <c r="C290" s="34"/>
      <c r="D290" s="3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32"/>
      <c r="B291" s="33"/>
      <c r="C291" s="34"/>
      <c r="D291" s="3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32"/>
      <c r="B292" s="33"/>
      <c r="C292" s="34"/>
      <c r="D292" s="3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32"/>
      <c r="B293" s="33"/>
      <c r="C293" s="34"/>
      <c r="D293" s="3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32"/>
      <c r="B294" s="33"/>
      <c r="C294" s="34"/>
      <c r="D294" s="3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32"/>
      <c r="B295" s="33"/>
      <c r="C295" s="34"/>
      <c r="D295" s="3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32"/>
      <c r="B296" s="33"/>
      <c r="C296" s="34"/>
      <c r="D296" s="3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32"/>
      <c r="B297" s="33"/>
      <c r="C297" s="34"/>
      <c r="D297" s="3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32"/>
      <c r="B298" s="33"/>
      <c r="C298" s="34"/>
      <c r="D298" s="3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32"/>
      <c r="B299" s="33"/>
      <c r="C299" s="34"/>
      <c r="D299" s="3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32"/>
      <c r="B300" s="33"/>
      <c r="C300" s="34"/>
      <c r="D300" s="3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32"/>
      <c r="B301" s="33"/>
      <c r="C301" s="34"/>
      <c r="D301" s="3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32"/>
      <c r="B302" s="33"/>
      <c r="C302" s="34"/>
      <c r="D302" s="3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32"/>
      <c r="B303" s="33"/>
      <c r="C303" s="34"/>
      <c r="D303" s="3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32"/>
      <c r="B304" s="33"/>
      <c r="C304" s="34"/>
      <c r="D304" s="3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32"/>
      <c r="B305" s="33"/>
      <c r="C305" s="34"/>
      <c r="D305" s="3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32"/>
      <c r="B306" s="33"/>
      <c r="C306" s="34"/>
      <c r="D306" s="3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32"/>
      <c r="B307" s="33"/>
      <c r="C307" s="34"/>
      <c r="D307" s="3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32"/>
      <c r="B308" s="33"/>
      <c r="C308" s="34"/>
      <c r="D308" s="3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32"/>
      <c r="B309" s="33"/>
      <c r="C309" s="34"/>
      <c r="D309" s="3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32"/>
      <c r="B310" s="33"/>
      <c r="C310" s="34"/>
      <c r="D310" s="3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32"/>
      <c r="B311" s="33"/>
      <c r="C311" s="34"/>
      <c r="D311" s="3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32"/>
      <c r="B312" s="33"/>
      <c r="C312" s="34"/>
      <c r="D312" s="3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32"/>
      <c r="B313" s="33"/>
      <c r="C313" s="34"/>
      <c r="D313" s="3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32"/>
      <c r="B314" s="33"/>
      <c r="C314" s="34"/>
      <c r="D314" s="3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32"/>
      <c r="B315" s="33"/>
      <c r="C315" s="34"/>
      <c r="D315" s="3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32"/>
      <c r="B316" s="33"/>
      <c r="C316" s="34"/>
      <c r="D316" s="3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32"/>
      <c r="B317" s="33"/>
      <c r="C317" s="34"/>
      <c r="D317" s="3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32"/>
      <c r="B318" s="33"/>
      <c r="C318" s="34"/>
      <c r="D318" s="3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32"/>
      <c r="B319" s="33"/>
      <c r="C319" s="34"/>
      <c r="D319" s="3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32"/>
      <c r="B320" s="33"/>
      <c r="C320" s="34"/>
      <c r="D320" s="3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32"/>
      <c r="B321" s="33"/>
      <c r="C321" s="34"/>
      <c r="D321" s="3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32"/>
      <c r="B322" s="33"/>
      <c r="C322" s="34"/>
      <c r="D322" s="3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32"/>
      <c r="B323" s="33"/>
      <c r="C323" s="34"/>
      <c r="D323" s="3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32"/>
      <c r="B324" s="33"/>
      <c r="C324" s="34"/>
      <c r="D324" s="3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32"/>
      <c r="B325" s="33"/>
      <c r="C325" s="34"/>
      <c r="D325" s="3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32"/>
      <c r="B326" s="33"/>
      <c r="C326" s="34"/>
      <c r="D326" s="3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32"/>
      <c r="B327" s="33"/>
      <c r="C327" s="34"/>
      <c r="D327" s="3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32"/>
      <c r="B328" s="33"/>
      <c r="C328" s="34"/>
      <c r="D328" s="3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32"/>
      <c r="B329" s="33"/>
      <c r="C329" s="34"/>
      <c r="D329" s="3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32"/>
      <c r="B330" s="33"/>
      <c r="C330" s="34"/>
      <c r="D330" s="3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32"/>
      <c r="B331" s="33"/>
      <c r="C331" s="34"/>
      <c r="D331" s="3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32"/>
      <c r="B332" s="33"/>
      <c r="C332" s="34"/>
      <c r="D332" s="3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32"/>
      <c r="B333" s="33"/>
      <c r="C333" s="34"/>
      <c r="D333" s="3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32"/>
      <c r="B334" s="33"/>
      <c r="C334" s="34"/>
      <c r="D334" s="3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32"/>
      <c r="B335" s="33"/>
      <c r="C335" s="34"/>
      <c r="D335" s="3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32"/>
      <c r="B336" s="33"/>
      <c r="C336" s="34"/>
      <c r="D336" s="3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32"/>
      <c r="B337" s="33"/>
      <c r="C337" s="34"/>
      <c r="D337" s="3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32"/>
      <c r="B338" s="33"/>
      <c r="C338" s="34"/>
      <c r="D338" s="3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32"/>
      <c r="B339" s="33"/>
      <c r="C339" s="34"/>
      <c r="D339" s="3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32"/>
      <c r="B340" s="33"/>
      <c r="C340" s="34"/>
      <c r="D340" s="3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32"/>
      <c r="B341" s="33"/>
      <c r="C341" s="34"/>
      <c r="D341" s="3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32"/>
      <c r="B342" s="33"/>
      <c r="C342" s="34"/>
      <c r="D342" s="3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32"/>
      <c r="B343" s="33"/>
      <c r="C343" s="34"/>
      <c r="D343" s="3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32"/>
      <c r="B344" s="33"/>
      <c r="C344" s="34"/>
      <c r="D344" s="3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32"/>
      <c r="B345" s="33"/>
      <c r="C345" s="34"/>
      <c r="D345" s="3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32"/>
      <c r="B346" s="33"/>
      <c r="C346" s="34"/>
      <c r="D346" s="3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32"/>
      <c r="B347" s="33"/>
      <c r="C347" s="34"/>
      <c r="D347" s="3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32"/>
      <c r="B348" s="33"/>
      <c r="C348" s="34"/>
      <c r="D348" s="3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32"/>
      <c r="B349" s="33"/>
      <c r="C349" s="34"/>
      <c r="D349" s="3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32"/>
      <c r="B350" s="33"/>
      <c r="C350" s="34"/>
      <c r="D350" s="3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32"/>
      <c r="B351" s="33"/>
      <c r="C351" s="34"/>
      <c r="D351" s="3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32"/>
      <c r="B352" s="33"/>
      <c r="C352" s="34"/>
      <c r="D352" s="3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32"/>
      <c r="B353" s="33"/>
      <c r="C353" s="34"/>
      <c r="D353" s="3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32"/>
      <c r="B354" s="33"/>
      <c r="C354" s="34"/>
      <c r="D354" s="3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32"/>
      <c r="B355" s="33"/>
      <c r="C355" s="34"/>
      <c r="D355" s="3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32"/>
      <c r="B356" s="33"/>
      <c r="C356" s="34"/>
      <c r="D356" s="3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32"/>
      <c r="B357" s="33"/>
      <c r="C357" s="34"/>
      <c r="D357" s="3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32"/>
      <c r="B358" s="33"/>
      <c r="C358" s="34"/>
      <c r="D358" s="3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32"/>
      <c r="B359" s="33"/>
      <c r="C359" s="34"/>
      <c r="D359" s="3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32"/>
      <c r="B360" s="33"/>
      <c r="C360" s="34"/>
      <c r="D360" s="3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32"/>
      <c r="B361" s="33"/>
      <c r="C361" s="34"/>
      <c r="D361" s="3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32"/>
      <c r="B362" s="33"/>
      <c r="C362" s="34"/>
      <c r="D362" s="3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32"/>
      <c r="B363" s="33"/>
      <c r="C363" s="34"/>
      <c r="D363" s="3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32"/>
      <c r="B364" s="33"/>
      <c r="C364" s="34"/>
      <c r="D364" s="3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32"/>
      <c r="B365" s="33"/>
      <c r="C365" s="34"/>
      <c r="D365" s="3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32"/>
      <c r="B366" s="33"/>
      <c r="C366" s="34"/>
      <c r="D366" s="3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32"/>
      <c r="B367" s="33"/>
      <c r="C367" s="34"/>
      <c r="D367" s="3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32"/>
      <c r="B368" s="33"/>
      <c r="C368" s="34"/>
      <c r="D368" s="3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32"/>
      <c r="B369" s="33"/>
      <c r="C369" s="34"/>
      <c r="D369" s="3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32"/>
      <c r="B370" s="33"/>
      <c r="C370" s="34"/>
      <c r="D370" s="3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32"/>
      <c r="B371" s="33"/>
      <c r="C371" s="34"/>
      <c r="D371" s="3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32"/>
      <c r="B372" s="33"/>
      <c r="C372" s="34"/>
      <c r="D372" s="3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32"/>
      <c r="B373" s="33"/>
      <c r="C373" s="34"/>
      <c r="D373" s="3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32"/>
      <c r="B374" s="33"/>
      <c r="C374" s="34"/>
      <c r="D374" s="3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32"/>
      <c r="B375" s="33"/>
      <c r="C375" s="34"/>
      <c r="D375" s="3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32"/>
      <c r="B376" s="33"/>
      <c r="C376" s="34"/>
      <c r="D376" s="3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32"/>
      <c r="B377" s="33"/>
      <c r="C377" s="34"/>
      <c r="D377" s="3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32"/>
      <c r="B378" s="33"/>
      <c r="C378" s="34"/>
      <c r="D378" s="3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32"/>
      <c r="B379" s="33"/>
      <c r="C379" s="34"/>
      <c r="D379" s="3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32"/>
      <c r="B380" s="33"/>
      <c r="C380" s="34"/>
      <c r="D380" s="3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32"/>
      <c r="B381" s="33"/>
      <c r="C381" s="34"/>
      <c r="D381" s="3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32"/>
      <c r="B382" s="33"/>
      <c r="C382" s="34"/>
      <c r="D382" s="3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32"/>
      <c r="B383" s="33"/>
      <c r="C383" s="34"/>
      <c r="D383" s="3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32"/>
      <c r="B384" s="33"/>
      <c r="C384" s="34"/>
      <c r="D384" s="3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32"/>
      <c r="B385" s="33"/>
      <c r="C385" s="34"/>
      <c r="D385" s="3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32"/>
      <c r="B386" s="33"/>
      <c r="C386" s="34"/>
      <c r="D386" s="3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32"/>
      <c r="B387" s="33"/>
      <c r="C387" s="34"/>
      <c r="D387" s="3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32"/>
      <c r="B388" s="33"/>
      <c r="C388" s="34"/>
      <c r="D388" s="3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32"/>
      <c r="B389" s="33"/>
      <c r="C389" s="34"/>
      <c r="D389" s="3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32"/>
      <c r="B390" s="33"/>
      <c r="C390" s="34"/>
      <c r="D390" s="3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32"/>
      <c r="B391" s="33"/>
      <c r="C391" s="34"/>
      <c r="D391" s="3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32"/>
      <c r="B392" s="33"/>
      <c r="C392" s="34"/>
      <c r="D392" s="3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32"/>
      <c r="B393" s="33"/>
      <c r="C393" s="34"/>
      <c r="D393" s="3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32"/>
      <c r="B394" s="33"/>
      <c r="C394" s="34"/>
      <c r="D394" s="3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32"/>
      <c r="B395" s="33"/>
      <c r="C395" s="34"/>
      <c r="D395" s="3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32"/>
      <c r="B396" s="33"/>
      <c r="C396" s="34"/>
      <c r="D396" s="3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32"/>
      <c r="B397" s="33"/>
      <c r="C397" s="34"/>
      <c r="D397" s="3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32"/>
      <c r="B398" s="33"/>
      <c r="C398" s="34"/>
      <c r="D398" s="3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32"/>
      <c r="B399" s="33"/>
      <c r="C399" s="34"/>
      <c r="D399" s="3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32"/>
      <c r="B400" s="33"/>
      <c r="C400" s="34"/>
      <c r="D400" s="3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32"/>
      <c r="B401" s="33"/>
      <c r="C401" s="34"/>
      <c r="D401" s="3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32"/>
      <c r="B402" s="33"/>
      <c r="C402" s="34"/>
      <c r="D402" s="3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32"/>
      <c r="B403" s="33"/>
      <c r="C403" s="34"/>
      <c r="D403" s="3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32"/>
      <c r="B404" s="33"/>
      <c r="C404" s="34"/>
      <c r="D404" s="3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32"/>
      <c r="B405" s="33"/>
      <c r="C405" s="34"/>
      <c r="D405" s="3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32"/>
      <c r="B406" s="33"/>
      <c r="C406" s="34"/>
      <c r="D406" s="3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32"/>
      <c r="B407" s="33"/>
      <c r="C407" s="34"/>
      <c r="D407" s="3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32"/>
      <c r="B408" s="33"/>
      <c r="C408" s="34"/>
      <c r="D408" s="3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32"/>
      <c r="B409" s="33"/>
      <c r="C409" s="34"/>
      <c r="D409" s="3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32"/>
      <c r="B410" s="33"/>
      <c r="C410" s="34"/>
      <c r="D410" s="3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32"/>
      <c r="B411" s="33"/>
      <c r="C411" s="34"/>
      <c r="D411" s="3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32"/>
      <c r="B412" s="33"/>
      <c r="C412" s="34"/>
      <c r="D412" s="3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32"/>
      <c r="B413" s="33"/>
      <c r="C413" s="34"/>
      <c r="D413" s="3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32"/>
      <c r="B414" s="33"/>
      <c r="C414" s="34"/>
      <c r="D414" s="3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32"/>
      <c r="B415" s="33"/>
      <c r="C415" s="34"/>
      <c r="D415" s="3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32"/>
      <c r="B416" s="33"/>
      <c r="C416" s="34"/>
      <c r="D416" s="3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32"/>
      <c r="B417" s="33"/>
      <c r="C417" s="34"/>
      <c r="D417" s="3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32"/>
      <c r="B418" s="33"/>
      <c r="C418" s="34"/>
      <c r="D418" s="3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32"/>
      <c r="B419" s="33"/>
      <c r="C419" s="34"/>
      <c r="D419" s="3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32"/>
      <c r="B420" s="33"/>
      <c r="C420" s="34"/>
      <c r="D420" s="3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32"/>
      <c r="B421" s="33"/>
      <c r="C421" s="34"/>
      <c r="D421" s="3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32"/>
      <c r="B422" s="33"/>
      <c r="C422" s="34"/>
      <c r="D422" s="3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32"/>
      <c r="B423" s="33"/>
      <c r="C423" s="34"/>
      <c r="D423" s="3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32"/>
      <c r="B424" s="33"/>
      <c r="C424" s="34"/>
      <c r="D424" s="3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32"/>
      <c r="B425" s="33"/>
      <c r="C425" s="34"/>
      <c r="D425" s="3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32"/>
      <c r="B426" s="33"/>
      <c r="C426" s="34"/>
      <c r="D426" s="3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32"/>
      <c r="B427" s="33"/>
      <c r="C427" s="34"/>
      <c r="D427" s="3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32"/>
      <c r="B428" s="33"/>
      <c r="C428" s="34"/>
      <c r="D428" s="3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32"/>
      <c r="B429" s="33"/>
      <c r="C429" s="34"/>
      <c r="D429" s="3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32"/>
      <c r="B430" s="33"/>
      <c r="C430" s="34"/>
      <c r="D430" s="3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32"/>
      <c r="B431" s="33"/>
      <c r="C431" s="34"/>
      <c r="D431" s="3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32"/>
      <c r="B432" s="33"/>
      <c r="C432" s="34"/>
      <c r="D432" s="3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32"/>
      <c r="B433" s="33"/>
      <c r="C433" s="34"/>
      <c r="D433" s="3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32"/>
      <c r="B434" s="33"/>
      <c r="C434" s="34"/>
      <c r="D434" s="3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32"/>
      <c r="B435" s="33"/>
      <c r="C435" s="34"/>
      <c r="D435" s="3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32"/>
      <c r="B436" s="33"/>
      <c r="C436" s="34"/>
      <c r="D436" s="3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32"/>
      <c r="B437" s="33"/>
      <c r="C437" s="34"/>
      <c r="D437" s="3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32"/>
      <c r="B438" s="33"/>
      <c r="C438" s="34"/>
      <c r="D438" s="3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32"/>
      <c r="B439" s="33"/>
      <c r="C439" s="34"/>
      <c r="D439" s="3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32"/>
      <c r="B440" s="33"/>
      <c r="C440" s="34"/>
      <c r="D440" s="3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32"/>
      <c r="B441" s="33"/>
      <c r="C441" s="34"/>
      <c r="D441" s="3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32"/>
      <c r="B442" s="33"/>
      <c r="C442" s="34"/>
      <c r="D442" s="3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32"/>
      <c r="B443" s="33"/>
      <c r="C443" s="34"/>
      <c r="D443" s="3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32"/>
      <c r="B444" s="33"/>
      <c r="C444" s="34"/>
      <c r="D444" s="3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32"/>
      <c r="B445" s="33"/>
      <c r="C445" s="34"/>
      <c r="D445" s="3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32"/>
      <c r="B446" s="33"/>
      <c r="C446" s="34"/>
      <c r="D446" s="3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32"/>
      <c r="B447" s="33"/>
      <c r="C447" s="34"/>
      <c r="D447" s="3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32"/>
      <c r="B448" s="33"/>
      <c r="C448" s="34"/>
      <c r="D448" s="3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32"/>
      <c r="B449" s="33"/>
      <c r="C449" s="34"/>
      <c r="D449" s="3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32"/>
      <c r="B450" s="33"/>
      <c r="C450" s="34"/>
      <c r="D450" s="3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32"/>
      <c r="B451" s="33"/>
      <c r="C451" s="34"/>
      <c r="D451" s="3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32"/>
      <c r="B452" s="33"/>
      <c r="C452" s="34"/>
      <c r="D452" s="3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32"/>
      <c r="B453" s="33"/>
      <c r="C453" s="34"/>
      <c r="D453" s="3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32"/>
      <c r="B454" s="33"/>
      <c r="C454" s="34"/>
      <c r="D454" s="3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32"/>
      <c r="B455" s="33"/>
      <c r="C455" s="34"/>
      <c r="D455" s="3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32"/>
      <c r="B456" s="33"/>
      <c r="C456" s="34"/>
      <c r="D456" s="3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32"/>
      <c r="B457" s="33"/>
      <c r="C457" s="34"/>
      <c r="D457" s="3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32"/>
      <c r="B458" s="33"/>
      <c r="C458" s="34"/>
      <c r="D458" s="3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32"/>
      <c r="B459" s="33"/>
      <c r="C459" s="34"/>
      <c r="D459" s="3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32"/>
      <c r="B460" s="33"/>
      <c r="C460" s="34"/>
      <c r="D460" s="3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32"/>
      <c r="B461" s="33"/>
      <c r="C461" s="34"/>
      <c r="D461" s="3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32"/>
      <c r="B462" s="33"/>
      <c r="C462" s="34"/>
      <c r="D462" s="3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32"/>
      <c r="B463" s="33"/>
      <c r="C463" s="34"/>
      <c r="D463" s="3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32"/>
      <c r="B464" s="33"/>
      <c r="C464" s="34"/>
      <c r="D464" s="3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32"/>
      <c r="B465" s="33"/>
      <c r="C465" s="34"/>
      <c r="D465" s="3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32"/>
      <c r="B466" s="33"/>
      <c r="C466" s="34"/>
      <c r="D466" s="3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32"/>
      <c r="B467" s="33"/>
      <c r="C467" s="34"/>
      <c r="D467" s="3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32"/>
      <c r="B468" s="33"/>
      <c r="C468" s="34"/>
      <c r="D468" s="3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32"/>
      <c r="B469" s="33"/>
      <c r="C469" s="34"/>
      <c r="D469" s="3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32"/>
      <c r="B470" s="33"/>
      <c r="C470" s="34"/>
      <c r="D470" s="3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32"/>
      <c r="B471" s="33"/>
      <c r="C471" s="34"/>
      <c r="D471" s="3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32"/>
      <c r="B472" s="33"/>
      <c r="C472" s="34"/>
      <c r="D472" s="3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32"/>
      <c r="B473" s="33"/>
      <c r="C473" s="34"/>
      <c r="D473" s="3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32"/>
      <c r="B474" s="33"/>
      <c r="C474" s="34"/>
      <c r="D474" s="3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32"/>
      <c r="B475" s="33"/>
      <c r="C475" s="34"/>
      <c r="D475" s="3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32"/>
      <c r="B476" s="33"/>
      <c r="C476" s="34"/>
      <c r="D476" s="3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32"/>
      <c r="B477" s="33"/>
      <c r="C477" s="34"/>
      <c r="D477" s="3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32"/>
      <c r="B478" s="33"/>
      <c r="C478" s="34"/>
      <c r="D478" s="3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32"/>
      <c r="B479" s="33"/>
      <c r="C479" s="34"/>
      <c r="D479" s="3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32"/>
      <c r="B480" s="33"/>
      <c r="C480" s="34"/>
      <c r="D480" s="3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32"/>
      <c r="B481" s="33"/>
      <c r="C481" s="34"/>
      <c r="D481" s="3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32"/>
      <c r="B482" s="33"/>
      <c r="C482" s="34"/>
      <c r="D482" s="3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32"/>
      <c r="B483" s="33"/>
      <c r="C483" s="34"/>
      <c r="D483" s="3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32"/>
      <c r="B484" s="33"/>
      <c r="C484" s="34"/>
      <c r="D484" s="3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32"/>
      <c r="B485" s="33"/>
      <c r="C485" s="34"/>
      <c r="D485" s="3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32"/>
      <c r="B486" s="33"/>
      <c r="C486" s="34"/>
      <c r="D486" s="3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32"/>
      <c r="B487" s="33"/>
      <c r="C487" s="34"/>
      <c r="D487" s="3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32"/>
      <c r="B488" s="33"/>
      <c r="C488" s="34"/>
      <c r="D488" s="3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32"/>
      <c r="B489" s="33"/>
      <c r="C489" s="34"/>
      <c r="D489" s="3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32"/>
      <c r="B490" s="33"/>
      <c r="C490" s="34"/>
      <c r="D490" s="3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32"/>
      <c r="B491" s="33"/>
      <c r="C491" s="34"/>
      <c r="D491" s="3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32"/>
      <c r="B492" s="33"/>
      <c r="C492" s="34"/>
      <c r="D492" s="3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32"/>
      <c r="B493" s="33"/>
      <c r="C493" s="34"/>
      <c r="D493" s="3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32"/>
      <c r="B494" s="33"/>
      <c r="C494" s="34"/>
      <c r="D494" s="3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32"/>
      <c r="B495" s="33"/>
      <c r="C495" s="34"/>
      <c r="D495" s="3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32"/>
      <c r="B496" s="33"/>
      <c r="C496" s="34"/>
      <c r="D496" s="3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32"/>
      <c r="B497" s="33"/>
      <c r="C497" s="34"/>
      <c r="D497" s="3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32"/>
      <c r="B498" s="33"/>
      <c r="C498" s="34"/>
      <c r="D498" s="3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32"/>
      <c r="B499" s="33"/>
      <c r="C499" s="34"/>
      <c r="D499" s="3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32"/>
      <c r="B500" s="33"/>
      <c r="C500" s="34"/>
      <c r="D500" s="3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32"/>
      <c r="B501" s="33"/>
      <c r="C501" s="34"/>
      <c r="D501" s="3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32"/>
      <c r="B502" s="33"/>
      <c r="C502" s="34"/>
      <c r="D502" s="3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32"/>
      <c r="B503" s="33"/>
      <c r="C503" s="34"/>
      <c r="D503" s="3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32"/>
      <c r="B504" s="33"/>
      <c r="C504" s="34"/>
      <c r="D504" s="3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32"/>
      <c r="B505" s="33"/>
      <c r="C505" s="34"/>
      <c r="D505" s="3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32"/>
      <c r="B506" s="33"/>
      <c r="C506" s="34"/>
      <c r="D506" s="3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32"/>
      <c r="B507" s="33"/>
      <c r="C507" s="34"/>
      <c r="D507" s="3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32"/>
      <c r="B508" s="33"/>
      <c r="C508" s="34"/>
      <c r="D508" s="3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32"/>
      <c r="B509" s="33"/>
      <c r="C509" s="34"/>
      <c r="D509" s="3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32"/>
      <c r="B510" s="33"/>
      <c r="C510" s="34"/>
      <c r="D510" s="3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32"/>
      <c r="B511" s="33"/>
      <c r="C511" s="34"/>
      <c r="D511" s="3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32"/>
      <c r="B512" s="33"/>
      <c r="C512" s="34"/>
      <c r="D512" s="3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32"/>
      <c r="B513" s="33"/>
      <c r="C513" s="34"/>
      <c r="D513" s="3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32"/>
      <c r="B514" s="33"/>
      <c r="C514" s="34"/>
      <c r="D514" s="3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32"/>
      <c r="B515" s="33"/>
      <c r="C515" s="34"/>
      <c r="D515" s="3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32"/>
      <c r="B516" s="33"/>
      <c r="C516" s="34"/>
      <c r="D516" s="3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32"/>
      <c r="B517" s="33"/>
      <c r="C517" s="34"/>
      <c r="D517" s="3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32"/>
      <c r="B518" s="33"/>
      <c r="C518" s="34"/>
      <c r="D518" s="3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32"/>
      <c r="B519" s="33"/>
      <c r="C519" s="34"/>
      <c r="D519" s="3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32"/>
      <c r="B520" s="33"/>
      <c r="C520" s="34"/>
      <c r="D520" s="3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32"/>
      <c r="B521" s="33"/>
      <c r="C521" s="34"/>
      <c r="D521" s="3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32"/>
      <c r="B522" s="33"/>
      <c r="C522" s="34"/>
      <c r="D522" s="3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32"/>
      <c r="B523" s="33"/>
      <c r="C523" s="34"/>
      <c r="D523" s="3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32"/>
      <c r="B524" s="33"/>
      <c r="C524" s="34"/>
      <c r="D524" s="3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32"/>
      <c r="B525" s="33"/>
      <c r="C525" s="34"/>
      <c r="D525" s="3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32"/>
      <c r="B526" s="33"/>
      <c r="C526" s="34"/>
      <c r="D526" s="3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32"/>
      <c r="B527" s="33"/>
      <c r="C527" s="34"/>
      <c r="D527" s="3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32"/>
      <c r="B528" s="33"/>
      <c r="C528" s="34"/>
      <c r="D528" s="3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32"/>
      <c r="B529" s="33"/>
      <c r="C529" s="34"/>
      <c r="D529" s="3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32"/>
      <c r="B530" s="33"/>
      <c r="C530" s="34"/>
      <c r="D530" s="3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32"/>
      <c r="B531" s="33"/>
      <c r="C531" s="34"/>
      <c r="D531" s="3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32"/>
      <c r="B532" s="33"/>
      <c r="C532" s="34"/>
      <c r="D532" s="3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32"/>
      <c r="B533" s="33"/>
      <c r="C533" s="34"/>
      <c r="D533" s="3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32"/>
      <c r="B534" s="33"/>
      <c r="C534" s="34"/>
      <c r="D534" s="3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32"/>
      <c r="B535" s="33"/>
      <c r="C535" s="34"/>
      <c r="D535" s="3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32"/>
      <c r="B536" s="33"/>
      <c r="C536" s="34"/>
      <c r="D536" s="3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32"/>
      <c r="B537" s="33"/>
      <c r="C537" s="34"/>
      <c r="D537" s="3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32"/>
      <c r="B538" s="33"/>
      <c r="C538" s="34"/>
      <c r="D538" s="3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32"/>
      <c r="B539" s="33"/>
      <c r="C539" s="34"/>
      <c r="D539" s="3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32"/>
      <c r="B540" s="33"/>
      <c r="C540" s="34"/>
      <c r="D540" s="3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32"/>
      <c r="B541" s="33"/>
      <c r="C541" s="34"/>
      <c r="D541" s="3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32"/>
      <c r="B542" s="33"/>
      <c r="C542" s="34"/>
      <c r="D542" s="3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32"/>
      <c r="B543" s="33"/>
      <c r="C543" s="34"/>
      <c r="D543" s="3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32"/>
      <c r="B544" s="33"/>
      <c r="C544" s="34"/>
      <c r="D544" s="3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32"/>
      <c r="B545" s="33"/>
      <c r="C545" s="34"/>
      <c r="D545" s="3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32"/>
      <c r="B546" s="33"/>
      <c r="C546" s="34"/>
      <c r="D546" s="3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32"/>
      <c r="B547" s="33"/>
      <c r="C547" s="34"/>
      <c r="D547" s="3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32"/>
      <c r="B548" s="33"/>
      <c r="C548" s="34"/>
      <c r="D548" s="3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32"/>
      <c r="B549" s="33"/>
      <c r="C549" s="34"/>
      <c r="D549" s="3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32"/>
      <c r="B550" s="33"/>
      <c r="C550" s="34"/>
      <c r="D550" s="3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32"/>
      <c r="B551" s="33"/>
      <c r="C551" s="34"/>
      <c r="D551" s="3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32"/>
      <c r="B552" s="33"/>
      <c r="C552" s="34"/>
      <c r="D552" s="3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32"/>
      <c r="B553" s="33"/>
      <c r="C553" s="34"/>
      <c r="D553" s="3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32"/>
      <c r="B554" s="33"/>
      <c r="C554" s="34"/>
      <c r="D554" s="3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32"/>
      <c r="B555" s="33"/>
      <c r="C555" s="34"/>
      <c r="D555" s="3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32"/>
      <c r="B556" s="33"/>
      <c r="C556" s="34"/>
      <c r="D556" s="3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32"/>
      <c r="B557" s="33"/>
      <c r="C557" s="34"/>
      <c r="D557" s="3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32"/>
      <c r="B558" s="33"/>
      <c r="C558" s="34"/>
      <c r="D558" s="3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32"/>
      <c r="B559" s="33"/>
      <c r="C559" s="34"/>
      <c r="D559" s="3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32"/>
      <c r="B560" s="33"/>
      <c r="C560" s="34"/>
      <c r="D560" s="3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32"/>
      <c r="B561" s="33"/>
      <c r="C561" s="34"/>
      <c r="D561" s="3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32"/>
      <c r="B562" s="33"/>
      <c r="C562" s="34"/>
      <c r="D562" s="3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32"/>
      <c r="B563" s="33"/>
      <c r="C563" s="34"/>
      <c r="D563" s="3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32"/>
      <c r="B564" s="33"/>
      <c r="C564" s="34"/>
      <c r="D564" s="3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32"/>
      <c r="B565" s="33"/>
      <c r="C565" s="34"/>
      <c r="D565" s="3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32"/>
      <c r="B566" s="33"/>
      <c r="C566" s="34"/>
      <c r="D566" s="3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32"/>
      <c r="B567" s="33"/>
      <c r="C567" s="34"/>
      <c r="D567" s="3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32"/>
      <c r="B568" s="33"/>
      <c r="C568" s="34"/>
      <c r="D568" s="3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32"/>
      <c r="B569" s="33"/>
      <c r="C569" s="34"/>
      <c r="D569" s="3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32"/>
      <c r="B570" s="33"/>
      <c r="C570" s="34"/>
      <c r="D570" s="3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32"/>
      <c r="B571" s="33"/>
      <c r="C571" s="34"/>
      <c r="D571" s="3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32"/>
      <c r="B572" s="33"/>
      <c r="C572" s="34"/>
      <c r="D572" s="3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32"/>
      <c r="B573" s="33"/>
      <c r="C573" s="34"/>
      <c r="D573" s="3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32"/>
      <c r="B574" s="33"/>
      <c r="C574" s="34"/>
      <c r="D574" s="3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32"/>
      <c r="B575" s="33"/>
      <c r="C575" s="34"/>
      <c r="D575" s="3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32"/>
      <c r="B576" s="33"/>
      <c r="C576" s="34"/>
      <c r="D576" s="3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32"/>
      <c r="B577" s="33"/>
      <c r="C577" s="34"/>
      <c r="D577" s="3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32"/>
      <c r="B578" s="33"/>
      <c r="C578" s="34"/>
      <c r="D578" s="3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32"/>
      <c r="B579" s="33"/>
      <c r="C579" s="34"/>
      <c r="D579" s="3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32"/>
      <c r="B580" s="33"/>
      <c r="C580" s="34"/>
      <c r="D580" s="3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32"/>
      <c r="B581" s="33"/>
      <c r="C581" s="34"/>
      <c r="D581" s="3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32"/>
      <c r="B582" s="33"/>
      <c r="C582" s="34"/>
      <c r="D582" s="3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32"/>
      <c r="B583" s="33"/>
      <c r="C583" s="34"/>
      <c r="D583" s="3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32"/>
      <c r="B584" s="33"/>
      <c r="C584" s="34"/>
      <c r="D584" s="3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32"/>
      <c r="B585" s="33"/>
      <c r="C585" s="34"/>
      <c r="D585" s="3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32"/>
      <c r="B586" s="33"/>
      <c r="C586" s="34"/>
      <c r="D586" s="3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32"/>
      <c r="B587" s="33"/>
      <c r="C587" s="34"/>
      <c r="D587" s="3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32"/>
      <c r="B588" s="33"/>
      <c r="C588" s="34"/>
      <c r="D588" s="3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32"/>
      <c r="B589" s="33"/>
      <c r="C589" s="34"/>
      <c r="D589" s="3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32"/>
      <c r="B590" s="33"/>
      <c r="C590" s="34"/>
      <c r="D590" s="3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32"/>
      <c r="B591" s="33"/>
      <c r="C591" s="34"/>
      <c r="D591" s="3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32"/>
      <c r="B592" s="33"/>
      <c r="C592" s="34"/>
      <c r="D592" s="3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32"/>
      <c r="B593" s="33"/>
      <c r="C593" s="34"/>
      <c r="D593" s="3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32"/>
      <c r="B594" s="33"/>
      <c r="C594" s="34"/>
      <c r="D594" s="3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32"/>
      <c r="B595" s="33"/>
      <c r="C595" s="34"/>
      <c r="D595" s="3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32"/>
      <c r="B596" s="33"/>
      <c r="C596" s="34"/>
      <c r="D596" s="3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32"/>
      <c r="B597" s="33"/>
      <c r="C597" s="34"/>
      <c r="D597" s="3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32"/>
      <c r="B598" s="33"/>
      <c r="C598" s="34"/>
      <c r="D598" s="3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32"/>
      <c r="B599" s="33"/>
      <c r="C599" s="34"/>
      <c r="D599" s="3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32"/>
      <c r="B600" s="33"/>
      <c r="C600" s="34"/>
      <c r="D600" s="3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32"/>
      <c r="B601" s="33"/>
      <c r="C601" s="34"/>
      <c r="D601" s="3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32"/>
      <c r="B602" s="33"/>
      <c r="C602" s="34"/>
      <c r="D602" s="3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32"/>
      <c r="B603" s="33"/>
      <c r="C603" s="34"/>
      <c r="D603" s="3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32"/>
      <c r="B604" s="33"/>
      <c r="C604" s="34"/>
      <c r="D604" s="3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32"/>
      <c r="B605" s="33"/>
      <c r="C605" s="34"/>
      <c r="D605" s="3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32"/>
      <c r="B606" s="33"/>
      <c r="C606" s="34"/>
      <c r="D606" s="3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32"/>
      <c r="B607" s="33"/>
      <c r="C607" s="34"/>
      <c r="D607" s="3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32"/>
      <c r="B608" s="33"/>
      <c r="C608" s="34"/>
      <c r="D608" s="3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32"/>
      <c r="B609" s="33"/>
      <c r="C609" s="34"/>
      <c r="D609" s="3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32"/>
      <c r="B610" s="33"/>
      <c r="C610" s="34"/>
      <c r="D610" s="3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32"/>
      <c r="B611" s="33"/>
      <c r="C611" s="34"/>
      <c r="D611" s="3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32"/>
      <c r="B612" s="33"/>
      <c r="C612" s="34"/>
      <c r="D612" s="3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32"/>
      <c r="B613" s="33"/>
      <c r="C613" s="34"/>
      <c r="D613" s="3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32"/>
      <c r="B614" s="33"/>
      <c r="C614" s="34"/>
      <c r="D614" s="3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32"/>
      <c r="B615" s="33"/>
      <c r="C615" s="34"/>
      <c r="D615" s="3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32"/>
      <c r="B616" s="33"/>
      <c r="C616" s="34"/>
      <c r="D616" s="3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32"/>
      <c r="B617" s="33"/>
      <c r="C617" s="34"/>
      <c r="D617" s="3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32"/>
      <c r="B618" s="33"/>
      <c r="C618" s="34"/>
      <c r="D618" s="3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32"/>
      <c r="B619" s="33"/>
      <c r="C619" s="34"/>
      <c r="D619" s="3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32"/>
      <c r="B620" s="33"/>
      <c r="C620" s="34"/>
      <c r="D620" s="3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32"/>
      <c r="B621" s="33"/>
      <c r="C621" s="34"/>
      <c r="D621" s="3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32"/>
      <c r="B622" s="33"/>
      <c r="C622" s="34"/>
      <c r="D622" s="3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32"/>
      <c r="B623" s="33"/>
      <c r="C623" s="34"/>
      <c r="D623" s="3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32"/>
      <c r="B624" s="33"/>
      <c r="C624" s="34"/>
      <c r="D624" s="3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32"/>
      <c r="B625" s="33"/>
      <c r="C625" s="34"/>
      <c r="D625" s="3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32"/>
      <c r="B626" s="33"/>
      <c r="C626" s="34"/>
      <c r="D626" s="3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32"/>
      <c r="B627" s="33"/>
      <c r="C627" s="34"/>
      <c r="D627" s="3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32"/>
      <c r="B628" s="33"/>
      <c r="C628" s="34"/>
      <c r="D628" s="3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32"/>
      <c r="B629" s="33"/>
      <c r="C629" s="34"/>
      <c r="D629" s="3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32"/>
      <c r="B630" s="33"/>
      <c r="C630" s="34"/>
      <c r="D630" s="3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32"/>
      <c r="B631" s="33"/>
      <c r="C631" s="34"/>
      <c r="D631" s="3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32"/>
      <c r="B632" s="33"/>
      <c r="C632" s="34"/>
      <c r="D632" s="3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32"/>
      <c r="B633" s="33"/>
      <c r="C633" s="34"/>
      <c r="D633" s="3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32"/>
      <c r="B634" s="33"/>
      <c r="C634" s="34"/>
      <c r="D634" s="3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32"/>
      <c r="B635" s="33"/>
      <c r="C635" s="34"/>
      <c r="D635" s="3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32"/>
      <c r="B636" s="33"/>
      <c r="C636" s="34"/>
      <c r="D636" s="3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32"/>
      <c r="B637" s="33"/>
      <c r="C637" s="34"/>
      <c r="D637" s="3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32"/>
      <c r="B638" s="33"/>
      <c r="C638" s="34"/>
      <c r="D638" s="3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32"/>
      <c r="B639" s="33"/>
      <c r="C639" s="34"/>
      <c r="D639" s="3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32"/>
      <c r="B640" s="33"/>
      <c r="C640" s="34"/>
      <c r="D640" s="3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32"/>
      <c r="B641" s="33"/>
      <c r="C641" s="34"/>
      <c r="D641" s="3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32"/>
      <c r="B642" s="33"/>
      <c r="C642" s="34"/>
      <c r="D642" s="3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32"/>
      <c r="B643" s="33"/>
      <c r="C643" s="34"/>
      <c r="D643" s="3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32"/>
      <c r="B644" s="33"/>
      <c r="C644" s="34"/>
      <c r="D644" s="3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32"/>
      <c r="B645" s="33"/>
      <c r="C645" s="34"/>
      <c r="D645" s="3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32"/>
      <c r="B646" s="33"/>
      <c r="C646" s="34"/>
      <c r="D646" s="3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32"/>
      <c r="B647" s="33"/>
      <c r="C647" s="34"/>
      <c r="D647" s="3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32"/>
      <c r="B648" s="33"/>
      <c r="C648" s="34"/>
      <c r="D648" s="3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32"/>
      <c r="B649" s="33"/>
      <c r="C649" s="34"/>
      <c r="D649" s="3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32"/>
      <c r="B650" s="33"/>
      <c r="C650" s="34"/>
      <c r="D650" s="3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32"/>
      <c r="B651" s="33"/>
      <c r="C651" s="34"/>
      <c r="D651" s="3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32"/>
      <c r="B652" s="33"/>
      <c r="C652" s="34"/>
      <c r="D652" s="3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32"/>
      <c r="B653" s="33"/>
      <c r="C653" s="34"/>
      <c r="D653" s="3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32"/>
      <c r="B654" s="33"/>
      <c r="C654" s="34"/>
      <c r="D654" s="3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32"/>
      <c r="B655" s="33"/>
      <c r="C655" s="34"/>
      <c r="D655" s="3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32"/>
      <c r="B656" s="33"/>
      <c r="C656" s="34"/>
      <c r="D656" s="3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32"/>
      <c r="B657" s="33"/>
      <c r="C657" s="34"/>
      <c r="D657" s="3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32"/>
      <c r="B658" s="33"/>
      <c r="C658" s="34"/>
      <c r="D658" s="3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32"/>
      <c r="B659" s="33"/>
      <c r="C659" s="34"/>
      <c r="D659" s="3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32"/>
      <c r="B660" s="33"/>
      <c r="C660" s="34"/>
      <c r="D660" s="3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32"/>
      <c r="B661" s="33"/>
      <c r="C661" s="34"/>
      <c r="D661" s="3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32"/>
      <c r="B662" s="33"/>
      <c r="C662" s="34"/>
      <c r="D662" s="3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32"/>
      <c r="B663" s="33"/>
      <c r="C663" s="34"/>
      <c r="D663" s="3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32"/>
      <c r="B664" s="33"/>
      <c r="C664" s="34"/>
      <c r="D664" s="3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32"/>
      <c r="B665" s="33"/>
      <c r="C665" s="34"/>
      <c r="D665" s="3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32"/>
      <c r="B666" s="33"/>
      <c r="C666" s="34"/>
      <c r="D666" s="3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32"/>
      <c r="B667" s="33"/>
      <c r="C667" s="34"/>
      <c r="D667" s="3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32"/>
      <c r="B668" s="33"/>
      <c r="C668" s="34"/>
      <c r="D668" s="3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32"/>
      <c r="B669" s="33"/>
      <c r="C669" s="34"/>
      <c r="D669" s="3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32"/>
      <c r="B670" s="33"/>
      <c r="C670" s="34"/>
      <c r="D670" s="3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32"/>
      <c r="B671" s="33"/>
      <c r="C671" s="34"/>
      <c r="D671" s="3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32"/>
      <c r="B672" s="33"/>
      <c r="C672" s="34"/>
      <c r="D672" s="3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32"/>
      <c r="B673" s="33"/>
      <c r="C673" s="34"/>
      <c r="D673" s="3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32"/>
      <c r="B674" s="33"/>
      <c r="C674" s="34"/>
      <c r="D674" s="3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32"/>
      <c r="B675" s="33"/>
      <c r="C675" s="34"/>
      <c r="D675" s="3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32"/>
      <c r="B676" s="33"/>
      <c r="C676" s="34"/>
      <c r="D676" s="3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32"/>
      <c r="B677" s="33"/>
      <c r="C677" s="34"/>
      <c r="D677" s="3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32"/>
      <c r="B678" s="33"/>
      <c r="C678" s="34"/>
      <c r="D678" s="3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32"/>
      <c r="B679" s="33"/>
      <c r="C679" s="34"/>
      <c r="D679" s="3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32"/>
      <c r="B680" s="33"/>
      <c r="C680" s="34"/>
      <c r="D680" s="3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32"/>
      <c r="B681" s="33"/>
      <c r="C681" s="34"/>
      <c r="D681" s="3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32"/>
      <c r="B682" s="33"/>
      <c r="C682" s="34"/>
      <c r="D682" s="3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32"/>
      <c r="B683" s="33"/>
      <c r="C683" s="34"/>
      <c r="D683" s="3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32"/>
      <c r="B684" s="33"/>
      <c r="C684" s="34"/>
      <c r="D684" s="3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32"/>
      <c r="B685" s="33"/>
      <c r="C685" s="34"/>
      <c r="D685" s="3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32"/>
      <c r="B686" s="33"/>
      <c r="C686" s="34"/>
      <c r="D686" s="3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32"/>
      <c r="B687" s="33"/>
      <c r="C687" s="34"/>
      <c r="D687" s="3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32"/>
      <c r="B688" s="33"/>
      <c r="C688" s="34"/>
      <c r="D688" s="3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32"/>
      <c r="B689" s="33"/>
      <c r="C689" s="34"/>
      <c r="D689" s="3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32"/>
      <c r="B690" s="33"/>
      <c r="C690" s="34"/>
      <c r="D690" s="3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32"/>
      <c r="B691" s="33"/>
      <c r="C691" s="34"/>
      <c r="D691" s="3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32"/>
      <c r="B692" s="33"/>
      <c r="C692" s="34"/>
      <c r="D692" s="3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32"/>
      <c r="B693" s="33"/>
      <c r="C693" s="34"/>
      <c r="D693" s="3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32"/>
      <c r="B694" s="33"/>
      <c r="C694" s="34"/>
      <c r="D694" s="3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32"/>
      <c r="B695" s="33"/>
      <c r="C695" s="34"/>
      <c r="D695" s="3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32"/>
      <c r="B696" s="33"/>
      <c r="C696" s="34"/>
      <c r="D696" s="3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32"/>
      <c r="B697" s="33"/>
      <c r="C697" s="34"/>
      <c r="D697" s="3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32"/>
      <c r="B698" s="33"/>
      <c r="C698" s="34"/>
      <c r="D698" s="3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32"/>
      <c r="B699" s="33"/>
      <c r="C699" s="34"/>
      <c r="D699" s="3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32"/>
      <c r="B700" s="33"/>
      <c r="C700" s="34"/>
      <c r="D700" s="3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32"/>
      <c r="B701" s="33"/>
      <c r="C701" s="34"/>
      <c r="D701" s="3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32"/>
      <c r="B702" s="33"/>
      <c r="C702" s="34"/>
      <c r="D702" s="3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32"/>
      <c r="B703" s="33"/>
      <c r="C703" s="34"/>
      <c r="D703" s="3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32"/>
      <c r="B704" s="33"/>
      <c r="C704" s="34"/>
      <c r="D704" s="3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32"/>
      <c r="B705" s="33"/>
      <c r="C705" s="34"/>
      <c r="D705" s="3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32"/>
      <c r="B706" s="33"/>
      <c r="C706" s="34"/>
      <c r="D706" s="3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32"/>
      <c r="B707" s="33"/>
      <c r="C707" s="34"/>
      <c r="D707" s="3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32"/>
      <c r="B708" s="33"/>
      <c r="C708" s="34"/>
      <c r="D708" s="3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32"/>
      <c r="B709" s="33"/>
      <c r="C709" s="34"/>
      <c r="D709" s="3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32"/>
      <c r="B710" s="33"/>
      <c r="C710" s="34"/>
      <c r="D710" s="3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32"/>
      <c r="B711" s="33"/>
      <c r="C711" s="34"/>
      <c r="D711" s="3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32"/>
      <c r="B712" s="33"/>
      <c r="C712" s="34"/>
      <c r="D712" s="3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32"/>
      <c r="B713" s="33"/>
      <c r="C713" s="34"/>
      <c r="D713" s="3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32"/>
      <c r="B714" s="33"/>
      <c r="C714" s="34"/>
      <c r="D714" s="3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32"/>
      <c r="B715" s="33"/>
      <c r="C715" s="34"/>
      <c r="D715" s="3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32"/>
      <c r="B716" s="33"/>
      <c r="C716" s="34"/>
      <c r="D716" s="3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32"/>
      <c r="B717" s="33"/>
      <c r="C717" s="34"/>
      <c r="D717" s="3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32"/>
      <c r="B718" s="33"/>
      <c r="C718" s="34"/>
      <c r="D718" s="3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32"/>
      <c r="B719" s="33"/>
      <c r="C719" s="34"/>
      <c r="D719" s="3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32"/>
      <c r="B720" s="33"/>
      <c r="C720" s="34"/>
      <c r="D720" s="3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32"/>
      <c r="B721" s="33"/>
      <c r="C721" s="34"/>
      <c r="D721" s="3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32"/>
      <c r="B722" s="33"/>
      <c r="C722" s="34"/>
      <c r="D722" s="3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32"/>
      <c r="B723" s="33"/>
      <c r="C723" s="34"/>
      <c r="D723" s="3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32"/>
      <c r="B724" s="33"/>
      <c r="C724" s="34"/>
      <c r="D724" s="3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32"/>
      <c r="B725" s="33"/>
      <c r="C725" s="34"/>
      <c r="D725" s="3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32"/>
      <c r="B726" s="33"/>
      <c r="C726" s="34"/>
      <c r="D726" s="3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32"/>
      <c r="B727" s="33"/>
      <c r="C727" s="34"/>
      <c r="D727" s="3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32"/>
      <c r="B728" s="33"/>
      <c r="C728" s="34"/>
      <c r="D728" s="3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32"/>
      <c r="B729" s="33"/>
      <c r="C729" s="34"/>
      <c r="D729" s="3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32"/>
      <c r="B730" s="33"/>
      <c r="C730" s="34"/>
      <c r="D730" s="3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32"/>
      <c r="B731" s="33"/>
      <c r="C731" s="34"/>
      <c r="D731" s="3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32"/>
      <c r="B732" s="33"/>
      <c r="C732" s="34"/>
      <c r="D732" s="3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32"/>
      <c r="B733" s="33"/>
      <c r="C733" s="34"/>
      <c r="D733" s="3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32"/>
      <c r="B734" s="33"/>
      <c r="C734" s="34"/>
      <c r="D734" s="3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32"/>
      <c r="B735" s="33"/>
      <c r="C735" s="34"/>
      <c r="D735" s="3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32"/>
      <c r="B736" s="33"/>
      <c r="C736" s="34"/>
      <c r="D736" s="3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32"/>
      <c r="B737" s="33"/>
      <c r="C737" s="34"/>
      <c r="D737" s="3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32"/>
      <c r="B738" s="33"/>
      <c r="C738" s="34"/>
      <c r="D738" s="3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32"/>
      <c r="B739" s="33"/>
      <c r="C739" s="34"/>
      <c r="D739" s="3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32"/>
      <c r="B740" s="33"/>
      <c r="C740" s="34"/>
      <c r="D740" s="3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32"/>
      <c r="B741" s="33"/>
      <c r="C741" s="34"/>
      <c r="D741" s="3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32"/>
      <c r="B742" s="33"/>
      <c r="C742" s="34"/>
      <c r="D742" s="3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32"/>
      <c r="B743" s="33"/>
      <c r="C743" s="34"/>
      <c r="D743" s="3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32"/>
      <c r="B744" s="33"/>
      <c r="C744" s="34"/>
      <c r="D744" s="3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32"/>
      <c r="B745" s="33"/>
      <c r="C745" s="34"/>
      <c r="D745" s="3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32"/>
      <c r="B746" s="33"/>
      <c r="C746" s="34"/>
      <c r="D746" s="3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32"/>
      <c r="B747" s="33"/>
      <c r="C747" s="34"/>
      <c r="D747" s="3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32"/>
      <c r="B748" s="33"/>
      <c r="C748" s="34"/>
      <c r="D748" s="3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32"/>
      <c r="B749" s="33"/>
      <c r="C749" s="34"/>
      <c r="D749" s="3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32"/>
      <c r="B750" s="33"/>
      <c r="C750" s="34"/>
      <c r="D750" s="3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32"/>
      <c r="B751" s="33"/>
      <c r="C751" s="34"/>
      <c r="D751" s="3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32"/>
      <c r="B752" s="33"/>
      <c r="C752" s="34"/>
      <c r="D752" s="3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32"/>
      <c r="B753" s="33"/>
      <c r="C753" s="34"/>
      <c r="D753" s="3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32"/>
      <c r="B754" s="33"/>
      <c r="C754" s="34"/>
      <c r="D754" s="3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32"/>
      <c r="B755" s="33"/>
      <c r="C755" s="34"/>
      <c r="D755" s="3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32"/>
      <c r="B756" s="33"/>
      <c r="C756" s="34"/>
      <c r="D756" s="3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32"/>
      <c r="B757" s="33"/>
      <c r="C757" s="34"/>
      <c r="D757" s="3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32"/>
      <c r="B758" s="33"/>
      <c r="C758" s="34"/>
      <c r="D758" s="3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32"/>
      <c r="B759" s="33"/>
      <c r="C759" s="34"/>
      <c r="D759" s="3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32"/>
      <c r="B760" s="33"/>
      <c r="C760" s="34"/>
      <c r="D760" s="3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32"/>
      <c r="B761" s="33"/>
      <c r="C761" s="34"/>
      <c r="D761" s="3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32"/>
      <c r="B762" s="33"/>
      <c r="C762" s="34"/>
      <c r="D762" s="3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32"/>
      <c r="B763" s="33"/>
      <c r="C763" s="34"/>
      <c r="D763" s="3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32"/>
      <c r="B764" s="33"/>
      <c r="C764" s="34"/>
      <c r="D764" s="3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32"/>
      <c r="B765" s="33"/>
      <c r="C765" s="34"/>
      <c r="D765" s="3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32"/>
      <c r="B766" s="33"/>
      <c r="C766" s="34"/>
      <c r="D766" s="3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32"/>
      <c r="B767" s="33"/>
      <c r="C767" s="34"/>
      <c r="D767" s="3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32"/>
      <c r="B768" s="33"/>
      <c r="C768" s="34"/>
      <c r="D768" s="3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32"/>
      <c r="B769" s="33"/>
      <c r="C769" s="34"/>
      <c r="D769" s="3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32"/>
      <c r="B770" s="33"/>
      <c r="C770" s="34"/>
      <c r="D770" s="3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32"/>
      <c r="B771" s="33"/>
      <c r="C771" s="34"/>
      <c r="D771" s="3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32"/>
      <c r="B772" s="33"/>
      <c r="C772" s="34"/>
      <c r="D772" s="3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32"/>
      <c r="B773" s="33"/>
      <c r="C773" s="34"/>
      <c r="D773" s="3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32"/>
      <c r="B774" s="33"/>
      <c r="C774" s="34"/>
      <c r="D774" s="3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32"/>
      <c r="B775" s="33"/>
      <c r="C775" s="34"/>
      <c r="D775" s="3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32"/>
      <c r="B776" s="33"/>
      <c r="C776" s="34"/>
      <c r="D776" s="3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32"/>
      <c r="B777" s="33"/>
      <c r="C777" s="34"/>
      <c r="D777" s="3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32"/>
      <c r="B778" s="33"/>
      <c r="C778" s="34"/>
      <c r="D778" s="3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32"/>
      <c r="B779" s="33"/>
      <c r="C779" s="34"/>
      <c r="D779" s="3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32"/>
      <c r="B780" s="33"/>
      <c r="C780" s="34"/>
      <c r="D780" s="3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32"/>
      <c r="B781" s="33"/>
      <c r="C781" s="34"/>
      <c r="D781" s="3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32"/>
      <c r="B782" s="33"/>
      <c r="C782" s="34"/>
      <c r="D782" s="3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32"/>
      <c r="B783" s="33"/>
      <c r="C783" s="34"/>
      <c r="D783" s="3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32"/>
      <c r="B784" s="33"/>
      <c r="C784" s="34"/>
      <c r="D784" s="3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32"/>
      <c r="B785" s="33"/>
      <c r="C785" s="34"/>
      <c r="D785" s="3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32"/>
      <c r="B786" s="33"/>
      <c r="C786" s="34"/>
      <c r="D786" s="3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32"/>
      <c r="B787" s="33"/>
      <c r="C787" s="34"/>
      <c r="D787" s="3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32"/>
      <c r="B788" s="33"/>
      <c r="C788" s="34"/>
      <c r="D788" s="3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32"/>
      <c r="B789" s="33"/>
      <c r="C789" s="34"/>
      <c r="D789" s="3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32"/>
      <c r="B790" s="33"/>
      <c r="C790" s="34"/>
      <c r="D790" s="3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32"/>
      <c r="B791" s="33"/>
      <c r="C791" s="34"/>
      <c r="D791" s="3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32"/>
      <c r="B792" s="33"/>
      <c r="C792" s="34"/>
      <c r="D792" s="3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32"/>
      <c r="B793" s="33"/>
      <c r="C793" s="34"/>
      <c r="D793" s="3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32"/>
      <c r="B794" s="33"/>
      <c r="C794" s="34"/>
      <c r="D794" s="3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32"/>
      <c r="B795" s="33"/>
      <c r="C795" s="34"/>
      <c r="D795" s="3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32"/>
      <c r="B796" s="33"/>
      <c r="C796" s="34"/>
      <c r="D796" s="3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32"/>
      <c r="B797" s="33"/>
      <c r="C797" s="34"/>
      <c r="D797" s="3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32"/>
      <c r="B798" s="33"/>
      <c r="C798" s="34"/>
      <c r="D798" s="3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32"/>
      <c r="B799" s="33"/>
      <c r="C799" s="34"/>
      <c r="D799" s="3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32"/>
      <c r="B800" s="33"/>
      <c r="C800" s="34"/>
      <c r="D800" s="3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32"/>
      <c r="B801" s="33"/>
      <c r="C801" s="34"/>
      <c r="D801" s="3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32"/>
      <c r="B802" s="33"/>
      <c r="C802" s="34"/>
      <c r="D802" s="3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32"/>
      <c r="B803" s="33"/>
      <c r="C803" s="34"/>
      <c r="D803" s="3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32"/>
      <c r="B804" s="33"/>
      <c r="C804" s="34"/>
      <c r="D804" s="3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32"/>
      <c r="B805" s="33"/>
      <c r="C805" s="34"/>
      <c r="D805" s="3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32"/>
      <c r="B806" s="33"/>
      <c r="C806" s="34"/>
      <c r="D806" s="3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32"/>
      <c r="B807" s="33"/>
      <c r="C807" s="34"/>
      <c r="D807" s="3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32"/>
      <c r="B808" s="33"/>
      <c r="C808" s="34"/>
      <c r="D808" s="3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32"/>
      <c r="B809" s="33"/>
      <c r="C809" s="34"/>
      <c r="D809" s="3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32"/>
      <c r="B810" s="33"/>
      <c r="C810" s="34"/>
      <c r="D810" s="3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32"/>
      <c r="B811" s="33"/>
      <c r="C811" s="34"/>
      <c r="D811" s="3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32"/>
      <c r="B812" s="33"/>
      <c r="C812" s="34"/>
      <c r="D812" s="3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32"/>
      <c r="B813" s="33"/>
      <c r="C813" s="34"/>
      <c r="D813" s="3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32"/>
      <c r="B814" s="33"/>
      <c r="C814" s="34"/>
      <c r="D814" s="3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32"/>
      <c r="B815" s="33"/>
      <c r="C815" s="34"/>
      <c r="D815" s="3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32"/>
      <c r="B816" s="33"/>
      <c r="C816" s="34"/>
      <c r="D816" s="3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32"/>
      <c r="B817" s="33"/>
      <c r="C817" s="34"/>
      <c r="D817" s="3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32"/>
      <c r="B818" s="33"/>
      <c r="C818" s="34"/>
      <c r="D818" s="3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32"/>
      <c r="B819" s="33"/>
      <c r="C819" s="34"/>
      <c r="D819" s="3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32"/>
      <c r="B820" s="33"/>
      <c r="C820" s="34"/>
      <c r="D820" s="3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32"/>
      <c r="B821" s="33"/>
      <c r="C821" s="34"/>
      <c r="D821" s="3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32"/>
      <c r="B822" s="33"/>
      <c r="C822" s="34"/>
      <c r="D822" s="3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32"/>
      <c r="B823" s="33"/>
      <c r="C823" s="34"/>
      <c r="D823" s="3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32"/>
      <c r="B824" s="33"/>
      <c r="C824" s="34"/>
      <c r="D824" s="3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32"/>
      <c r="B825" s="33"/>
      <c r="C825" s="34"/>
      <c r="D825" s="3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32"/>
      <c r="B826" s="33"/>
      <c r="C826" s="34"/>
      <c r="D826" s="3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32"/>
      <c r="B827" s="33"/>
      <c r="C827" s="34"/>
      <c r="D827" s="3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32"/>
      <c r="B828" s="33"/>
      <c r="C828" s="34"/>
      <c r="D828" s="3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32"/>
      <c r="B829" s="33"/>
      <c r="C829" s="34"/>
      <c r="D829" s="3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32"/>
      <c r="B830" s="33"/>
      <c r="C830" s="34"/>
      <c r="D830" s="3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32"/>
      <c r="B831" s="33"/>
      <c r="C831" s="34"/>
      <c r="D831" s="3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32"/>
      <c r="B832" s="33"/>
      <c r="C832" s="34"/>
      <c r="D832" s="3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32"/>
      <c r="B833" s="33"/>
      <c r="C833" s="34"/>
      <c r="D833" s="3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32"/>
      <c r="B834" s="33"/>
      <c r="C834" s="34"/>
      <c r="D834" s="3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32"/>
      <c r="B835" s="33"/>
      <c r="C835" s="34"/>
      <c r="D835" s="3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32"/>
      <c r="B836" s="33"/>
      <c r="C836" s="34"/>
      <c r="D836" s="3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32"/>
      <c r="B837" s="33"/>
      <c r="C837" s="34"/>
      <c r="D837" s="3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32"/>
      <c r="B838" s="33"/>
      <c r="C838" s="34"/>
      <c r="D838" s="3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32"/>
      <c r="B839" s="33"/>
      <c r="C839" s="34"/>
      <c r="D839" s="3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32"/>
      <c r="B840" s="33"/>
      <c r="C840" s="34"/>
      <c r="D840" s="3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32"/>
      <c r="B841" s="33"/>
      <c r="C841" s="34"/>
      <c r="D841" s="3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32"/>
      <c r="B842" s="33"/>
      <c r="C842" s="34"/>
      <c r="D842" s="3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32"/>
      <c r="B843" s="33"/>
      <c r="C843" s="34"/>
      <c r="D843" s="3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32"/>
      <c r="B844" s="33"/>
      <c r="C844" s="34"/>
      <c r="D844" s="3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32"/>
      <c r="B845" s="33"/>
      <c r="C845" s="34"/>
      <c r="D845" s="3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32"/>
      <c r="B846" s="33"/>
      <c r="C846" s="34"/>
      <c r="D846" s="3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32"/>
      <c r="B847" s="33"/>
      <c r="C847" s="34"/>
      <c r="D847" s="3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32"/>
      <c r="B848" s="33"/>
      <c r="C848" s="34"/>
      <c r="D848" s="3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32"/>
      <c r="B849" s="33"/>
      <c r="C849" s="34"/>
      <c r="D849" s="3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32"/>
      <c r="B850" s="33"/>
      <c r="C850" s="34"/>
      <c r="D850" s="3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32"/>
      <c r="B851" s="33"/>
      <c r="C851" s="34"/>
      <c r="D851" s="3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32"/>
      <c r="B852" s="33"/>
      <c r="C852" s="34"/>
      <c r="D852" s="3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32"/>
      <c r="B853" s="33"/>
      <c r="C853" s="34"/>
      <c r="D853" s="3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32"/>
      <c r="B854" s="33"/>
      <c r="C854" s="34"/>
      <c r="D854" s="3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32"/>
      <c r="B855" s="33"/>
      <c r="C855" s="34"/>
      <c r="D855" s="3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32"/>
      <c r="B856" s="33"/>
      <c r="C856" s="34"/>
      <c r="D856" s="3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32"/>
      <c r="B857" s="33"/>
      <c r="C857" s="34"/>
      <c r="D857" s="3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32"/>
      <c r="B858" s="33"/>
      <c r="C858" s="34"/>
      <c r="D858" s="3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32"/>
      <c r="B859" s="33"/>
      <c r="C859" s="34"/>
      <c r="D859" s="3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32"/>
      <c r="B860" s="33"/>
      <c r="C860" s="34"/>
      <c r="D860" s="3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32"/>
      <c r="B861" s="33"/>
      <c r="C861" s="34"/>
      <c r="D861" s="3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32"/>
      <c r="B862" s="33"/>
      <c r="C862" s="34"/>
      <c r="D862" s="3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32"/>
      <c r="B863" s="33"/>
      <c r="C863" s="34"/>
      <c r="D863" s="3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32"/>
      <c r="B864" s="33"/>
      <c r="C864" s="34"/>
      <c r="D864" s="3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32"/>
      <c r="B865" s="33"/>
      <c r="C865" s="34"/>
      <c r="D865" s="3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32"/>
      <c r="B866" s="33"/>
      <c r="C866" s="34"/>
      <c r="D866" s="3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32"/>
      <c r="B867" s="33"/>
      <c r="C867" s="34"/>
      <c r="D867" s="3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32"/>
      <c r="B868" s="33"/>
      <c r="C868" s="34"/>
      <c r="D868" s="3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32"/>
      <c r="B869" s="33"/>
      <c r="C869" s="34"/>
      <c r="D869" s="3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32"/>
      <c r="B870" s="33"/>
      <c r="C870" s="34"/>
      <c r="D870" s="3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32"/>
      <c r="B871" s="33"/>
      <c r="C871" s="34"/>
      <c r="D871" s="3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32"/>
      <c r="B872" s="33"/>
      <c r="C872" s="34"/>
      <c r="D872" s="3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32"/>
      <c r="B873" s="33"/>
      <c r="C873" s="34"/>
      <c r="D873" s="3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32"/>
      <c r="B874" s="33"/>
      <c r="C874" s="34"/>
      <c r="D874" s="3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32"/>
      <c r="B875" s="33"/>
      <c r="C875" s="34"/>
      <c r="D875" s="3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32"/>
      <c r="B876" s="33"/>
      <c r="C876" s="34"/>
      <c r="D876" s="3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32"/>
      <c r="B877" s="33"/>
      <c r="C877" s="34"/>
      <c r="D877" s="3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32"/>
      <c r="B878" s="33"/>
      <c r="C878" s="34"/>
      <c r="D878" s="3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32"/>
      <c r="B879" s="33"/>
      <c r="C879" s="34"/>
      <c r="D879" s="3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32"/>
      <c r="B880" s="33"/>
      <c r="C880" s="34"/>
      <c r="D880" s="3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32"/>
      <c r="B881" s="33"/>
      <c r="C881" s="34"/>
      <c r="D881" s="3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32"/>
      <c r="B882" s="33"/>
      <c r="C882" s="34"/>
      <c r="D882" s="3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32"/>
      <c r="B883" s="33"/>
      <c r="C883" s="34"/>
      <c r="D883" s="3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32"/>
      <c r="B884" s="33"/>
      <c r="C884" s="34"/>
      <c r="D884" s="3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32"/>
      <c r="B885" s="33"/>
      <c r="C885" s="34"/>
      <c r="D885" s="3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32"/>
      <c r="B886" s="33"/>
      <c r="C886" s="34"/>
      <c r="D886" s="3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32"/>
      <c r="B887" s="33"/>
      <c r="C887" s="34"/>
      <c r="D887" s="3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32"/>
      <c r="B888" s="33"/>
      <c r="C888" s="34"/>
      <c r="D888" s="3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32"/>
      <c r="B889" s="33"/>
      <c r="C889" s="34"/>
      <c r="D889" s="3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32"/>
      <c r="B890" s="33"/>
      <c r="C890" s="34"/>
      <c r="D890" s="3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32"/>
      <c r="B891" s="33"/>
      <c r="C891" s="34"/>
      <c r="D891" s="3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32"/>
      <c r="B892" s="33"/>
      <c r="C892" s="34"/>
      <c r="D892" s="3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32"/>
      <c r="B893" s="33"/>
      <c r="C893" s="34"/>
      <c r="D893" s="3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32"/>
      <c r="B894" s="33"/>
      <c r="C894" s="34"/>
      <c r="D894" s="3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32"/>
      <c r="B895" s="33"/>
      <c r="C895" s="34"/>
      <c r="D895" s="3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32"/>
      <c r="B896" s="33"/>
      <c r="C896" s="34"/>
      <c r="D896" s="3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32"/>
      <c r="B897" s="33"/>
      <c r="C897" s="34"/>
      <c r="D897" s="3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32"/>
      <c r="B898" s="33"/>
      <c r="C898" s="34"/>
      <c r="D898" s="3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32"/>
      <c r="B899" s="33"/>
      <c r="C899" s="34"/>
      <c r="D899" s="3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32"/>
      <c r="B900" s="33"/>
      <c r="C900" s="34"/>
      <c r="D900" s="3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32"/>
      <c r="B901" s="33"/>
      <c r="C901" s="34"/>
      <c r="D901" s="3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32"/>
      <c r="B902" s="33"/>
      <c r="C902" s="34"/>
      <c r="D902" s="3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32"/>
      <c r="B903" s="33"/>
      <c r="C903" s="34"/>
      <c r="D903" s="3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32"/>
      <c r="B904" s="33"/>
      <c r="C904" s="34"/>
      <c r="D904" s="3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32"/>
      <c r="B905" s="33"/>
      <c r="C905" s="34"/>
      <c r="D905" s="3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32"/>
      <c r="B906" s="33"/>
      <c r="C906" s="34"/>
      <c r="D906" s="3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32"/>
      <c r="B907" s="33"/>
      <c r="C907" s="34"/>
      <c r="D907" s="3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32"/>
      <c r="B908" s="33"/>
      <c r="C908" s="34"/>
      <c r="D908" s="3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32"/>
      <c r="B909" s="33"/>
      <c r="C909" s="34"/>
      <c r="D909" s="3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32"/>
      <c r="B910" s="33"/>
      <c r="C910" s="34"/>
      <c r="D910" s="3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32"/>
      <c r="B911" s="33"/>
      <c r="C911" s="34"/>
      <c r="D911" s="3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32"/>
      <c r="B912" s="33"/>
      <c r="C912" s="34"/>
      <c r="D912" s="3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32"/>
      <c r="B913" s="33"/>
      <c r="C913" s="34"/>
      <c r="D913" s="3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32"/>
      <c r="B914" s="33"/>
      <c r="C914" s="34"/>
      <c r="D914" s="3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32"/>
      <c r="B915" s="33"/>
      <c r="C915" s="34"/>
      <c r="D915" s="3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32"/>
      <c r="B916" s="33"/>
      <c r="C916" s="34"/>
      <c r="D916" s="3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32"/>
      <c r="B917" s="33"/>
      <c r="C917" s="34"/>
      <c r="D917" s="3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32"/>
      <c r="B918" s="33"/>
      <c r="C918" s="34"/>
      <c r="D918" s="3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32"/>
      <c r="B919" s="33"/>
      <c r="C919" s="34"/>
      <c r="D919" s="3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32"/>
      <c r="B920" s="33"/>
      <c r="C920" s="34"/>
      <c r="D920" s="3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32"/>
      <c r="B921" s="33"/>
      <c r="C921" s="34"/>
      <c r="D921" s="3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32"/>
      <c r="B922" s="33"/>
      <c r="C922" s="34"/>
      <c r="D922" s="3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32"/>
      <c r="B923" s="33"/>
      <c r="C923" s="34"/>
      <c r="D923" s="3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32"/>
      <c r="B924" s="33"/>
      <c r="C924" s="34"/>
      <c r="D924" s="3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32"/>
      <c r="B925" s="33"/>
      <c r="C925" s="34"/>
      <c r="D925" s="3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32"/>
      <c r="B926" s="33"/>
      <c r="C926" s="34"/>
      <c r="D926" s="3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32"/>
      <c r="B927" s="33"/>
      <c r="C927" s="34"/>
      <c r="D927" s="3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32"/>
      <c r="B928" s="33"/>
      <c r="C928" s="34"/>
      <c r="D928" s="3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32"/>
      <c r="B929" s="33"/>
      <c r="C929" s="34"/>
      <c r="D929" s="3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32"/>
      <c r="B930" s="33"/>
      <c r="C930" s="34"/>
      <c r="D930" s="3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32"/>
      <c r="B931" s="33"/>
      <c r="C931" s="34"/>
      <c r="D931" s="3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32"/>
      <c r="B932" s="33"/>
      <c r="C932" s="34"/>
      <c r="D932" s="3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32"/>
      <c r="B933" s="33"/>
      <c r="C933" s="34"/>
      <c r="D933" s="3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32"/>
      <c r="B934" s="33"/>
      <c r="C934" s="34"/>
      <c r="D934" s="3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32"/>
      <c r="B935" s="33"/>
      <c r="C935" s="34"/>
      <c r="D935" s="3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32"/>
      <c r="B936" s="33"/>
      <c r="C936" s="34"/>
      <c r="D936" s="3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32"/>
      <c r="B937" s="33"/>
      <c r="C937" s="34"/>
      <c r="D937" s="3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32"/>
      <c r="B938" s="33"/>
      <c r="C938" s="34"/>
      <c r="D938" s="3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32"/>
      <c r="B939" s="33"/>
      <c r="C939" s="34"/>
      <c r="D939" s="3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32"/>
      <c r="B940" s="33"/>
      <c r="C940" s="34"/>
      <c r="D940" s="3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32"/>
      <c r="B941" s="33"/>
      <c r="C941" s="34"/>
      <c r="D941" s="3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32"/>
      <c r="B942" s="33"/>
      <c r="C942" s="34"/>
      <c r="D942" s="3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32"/>
      <c r="B943" s="33"/>
      <c r="C943" s="34"/>
      <c r="D943" s="3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32"/>
      <c r="B944" s="33"/>
      <c r="C944" s="34"/>
      <c r="D944" s="3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32"/>
      <c r="B945" s="33"/>
      <c r="C945" s="34"/>
      <c r="D945" s="3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32"/>
      <c r="B946" s="33"/>
      <c r="C946" s="34"/>
      <c r="D946" s="3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32"/>
      <c r="B947" s="33"/>
      <c r="C947" s="34"/>
      <c r="D947" s="3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32"/>
      <c r="B948" s="33"/>
      <c r="C948" s="34"/>
      <c r="D948" s="3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32"/>
      <c r="B949" s="33"/>
      <c r="C949" s="34"/>
      <c r="D949" s="3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32"/>
      <c r="B950" s="33"/>
      <c r="C950" s="34"/>
      <c r="D950" s="3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32"/>
      <c r="B951" s="33"/>
      <c r="C951" s="34"/>
      <c r="D951" s="3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32"/>
      <c r="B952" s="33"/>
      <c r="C952" s="34"/>
      <c r="D952" s="3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32"/>
      <c r="B953" s="33"/>
      <c r="C953" s="34"/>
      <c r="D953" s="3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32"/>
      <c r="B954" s="33"/>
      <c r="C954" s="34"/>
      <c r="D954" s="3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32"/>
      <c r="B955" s="33"/>
      <c r="C955" s="34"/>
      <c r="D955" s="3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32"/>
      <c r="B956" s="33"/>
      <c r="C956" s="34"/>
      <c r="D956" s="3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32"/>
      <c r="B957" s="33"/>
      <c r="C957" s="34"/>
      <c r="D957" s="3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32"/>
      <c r="B958" s="33"/>
      <c r="C958" s="34"/>
      <c r="D958" s="3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32"/>
      <c r="B959" s="33"/>
      <c r="C959" s="34"/>
      <c r="D959" s="3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32"/>
      <c r="B960" s="33"/>
      <c r="C960" s="34"/>
      <c r="D960" s="3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32"/>
      <c r="B961" s="33"/>
      <c r="C961" s="34"/>
      <c r="D961" s="3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32"/>
      <c r="B962" s="33"/>
      <c r="C962" s="34"/>
      <c r="D962" s="3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32"/>
      <c r="B963" s="33"/>
      <c r="C963" s="34"/>
      <c r="D963" s="3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32"/>
      <c r="B964" s="33"/>
      <c r="C964" s="34"/>
      <c r="D964" s="3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32"/>
      <c r="B965" s="33"/>
      <c r="C965" s="34"/>
      <c r="D965" s="3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32"/>
      <c r="B966" s="33"/>
      <c r="C966" s="34"/>
      <c r="D966" s="3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32"/>
      <c r="B967" s="33"/>
      <c r="C967" s="34"/>
      <c r="D967" s="3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32"/>
      <c r="B968" s="33"/>
      <c r="C968" s="34"/>
      <c r="D968" s="3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32"/>
      <c r="B969" s="33"/>
      <c r="C969" s="34"/>
      <c r="D969" s="3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32"/>
      <c r="B970" s="33"/>
      <c r="C970" s="34"/>
      <c r="D970" s="3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32"/>
      <c r="B971" s="33"/>
      <c r="C971" s="34"/>
      <c r="D971" s="3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32"/>
      <c r="B972" s="33"/>
      <c r="C972" s="34"/>
      <c r="D972" s="3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32"/>
      <c r="B973" s="33"/>
      <c r="C973" s="34"/>
      <c r="D973" s="3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32"/>
      <c r="B974" s="33"/>
      <c r="C974" s="34"/>
      <c r="D974" s="3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32"/>
      <c r="B975" s="33"/>
      <c r="C975" s="34"/>
      <c r="D975" s="3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2"/>
      <c r="B976" s="33"/>
      <c r="C976" s="34"/>
      <c r="D976" s="3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2"/>
      <c r="B977" s="33"/>
      <c r="C977" s="34"/>
      <c r="D977" s="3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2"/>
      <c r="B978" s="33"/>
      <c r="C978" s="34"/>
      <c r="D978" s="3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2"/>
      <c r="B979" s="33"/>
      <c r="C979" s="34"/>
      <c r="D979" s="3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2"/>
      <c r="B980" s="33"/>
      <c r="C980" s="34"/>
      <c r="D980" s="3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2"/>
      <c r="B981" s="33"/>
      <c r="C981" s="34"/>
      <c r="D981" s="3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2"/>
      <c r="B982" s="33"/>
      <c r="C982" s="34"/>
      <c r="D982" s="3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2"/>
      <c r="B983" s="33"/>
      <c r="C983" s="34"/>
      <c r="D983" s="3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2"/>
      <c r="B984" s="33"/>
      <c r="C984" s="34"/>
      <c r="D984" s="3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2"/>
      <c r="B985" s="33"/>
      <c r="C985" s="34"/>
      <c r="D985" s="3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2"/>
      <c r="B986" s="33"/>
      <c r="C986" s="34"/>
      <c r="D986" s="3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2"/>
      <c r="B987" s="33"/>
      <c r="C987" s="34"/>
      <c r="D987" s="3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2"/>
      <c r="B988" s="33"/>
      <c r="C988" s="34"/>
      <c r="D988" s="3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2"/>
      <c r="B989" s="33"/>
      <c r="C989" s="34"/>
      <c r="D989" s="3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2"/>
      <c r="B990" s="33"/>
      <c r="C990" s="34"/>
      <c r="D990" s="3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2"/>
      <c r="B991" s="33"/>
      <c r="C991" s="34"/>
      <c r="D991" s="3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2"/>
      <c r="B992" s="33"/>
      <c r="C992" s="34"/>
      <c r="D992" s="3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2"/>
      <c r="B993" s="33"/>
      <c r="C993" s="34"/>
      <c r="D993" s="3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2"/>
      <c r="B994" s="33"/>
      <c r="C994" s="34"/>
      <c r="D994" s="3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2"/>
      <c r="B995" s="33"/>
      <c r="C995" s="34"/>
      <c r="D995" s="3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2"/>
      <c r="B996" s="33"/>
      <c r="C996" s="34"/>
      <c r="D996" s="3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2"/>
      <c r="B997" s="33"/>
      <c r="C997" s="34"/>
      <c r="D997" s="3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32"/>
      <c r="B998" s="33"/>
      <c r="C998" s="34"/>
      <c r="D998" s="35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32"/>
      <c r="B999" s="33"/>
      <c r="C999" s="34"/>
      <c r="D999" s="35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32"/>
      <c r="B1000" s="33"/>
      <c r="C1000" s="34"/>
      <c r="D1000" s="35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32"/>
      <c r="B1001" s="33"/>
      <c r="C1001" s="34"/>
      <c r="D1001" s="35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32"/>
      <c r="B1002" s="33"/>
      <c r="C1002" s="34"/>
      <c r="D1002" s="35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32"/>
      <c r="B1003" s="33"/>
      <c r="C1003" s="34"/>
      <c r="D1003" s="35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32"/>
      <c r="B1004" s="33"/>
      <c r="C1004" s="34"/>
      <c r="D1004" s="35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32"/>
      <c r="B1005" s="33"/>
      <c r="C1005" s="34"/>
      <c r="D1005" s="35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32"/>
      <c r="B1006" s="33"/>
      <c r="C1006" s="34"/>
      <c r="D1006" s="35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32"/>
      <c r="B1007" s="33"/>
      <c r="C1007" s="34"/>
      <c r="D1007" s="35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32"/>
      <c r="B1008" s="33"/>
      <c r="C1008" s="34"/>
      <c r="D1008" s="35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</sheetData>
  <dataValidations>
    <dataValidation type="custom" allowBlank="1" showDropDown="1" sqref="A2:A8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6" max="6" width="11.75"/>
    <col customWidth="1" min="7" max="7" width="42.38"/>
    <col customWidth="1" min="9" max="9" width="21.38"/>
    <col customWidth="1" min="10" max="10" width="46.38"/>
    <col customWidth="1" min="11" max="11" width="61.0"/>
  </cols>
  <sheetData>
    <row r="1">
      <c r="A1" s="2" t="s">
        <v>0</v>
      </c>
      <c r="B1" s="2" t="s">
        <v>7</v>
      </c>
      <c r="C1" s="2" t="s">
        <v>1</v>
      </c>
      <c r="D1" s="2" t="s">
        <v>2</v>
      </c>
      <c r="E1" s="2" t="s">
        <v>12</v>
      </c>
      <c r="F1" s="2" t="s">
        <v>14</v>
      </c>
      <c r="G1" s="2" t="s">
        <v>8</v>
      </c>
      <c r="H1" s="2" t="s">
        <v>18</v>
      </c>
      <c r="I1" s="2" t="s">
        <v>20</v>
      </c>
      <c r="J1" s="2" t="s">
        <v>6</v>
      </c>
      <c r="K1" s="2" t="s">
        <v>21</v>
      </c>
      <c r="L1" s="2" t="s">
        <v>24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30</v>
      </c>
      <c r="B2" s="7"/>
      <c r="C2" s="6" t="s">
        <v>22</v>
      </c>
      <c r="D2" s="6" t="s">
        <v>23</v>
      </c>
      <c r="E2" s="6" t="s">
        <v>31</v>
      </c>
      <c r="F2" s="6" t="s">
        <v>31</v>
      </c>
      <c r="G2" s="6" t="s">
        <v>32</v>
      </c>
      <c r="H2" s="7"/>
      <c r="I2" s="8">
        <v>44895.880636574075</v>
      </c>
      <c r="J2" s="6" t="s">
        <v>33</v>
      </c>
      <c r="K2" s="12" t="s">
        <v>34</v>
      </c>
      <c r="L2" s="6" t="s">
        <v>42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43</v>
      </c>
      <c r="B3" s="7"/>
      <c r="C3" s="6" t="s">
        <v>22</v>
      </c>
      <c r="D3" s="6" t="s">
        <v>23</v>
      </c>
      <c r="E3" s="6" t="s">
        <v>31</v>
      </c>
      <c r="F3" s="6" t="s">
        <v>31</v>
      </c>
      <c r="G3" s="6" t="s">
        <v>44</v>
      </c>
      <c r="H3" s="7"/>
      <c r="I3" s="8">
        <v>44895.880636574075</v>
      </c>
      <c r="J3" s="6" t="s">
        <v>45</v>
      </c>
      <c r="K3" s="12" t="s">
        <v>46</v>
      </c>
      <c r="L3" s="6" t="s">
        <v>42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53</v>
      </c>
      <c r="B4" s="7"/>
      <c r="C4" s="6" t="s">
        <v>22</v>
      </c>
      <c r="D4" s="6" t="s">
        <v>23</v>
      </c>
      <c r="E4" s="6" t="s">
        <v>31</v>
      </c>
      <c r="F4" s="6" t="s">
        <v>31</v>
      </c>
      <c r="G4" s="6" t="s">
        <v>54</v>
      </c>
      <c r="H4" s="7"/>
      <c r="I4" s="8">
        <v>44895.880636574075</v>
      </c>
      <c r="J4" s="6" t="s">
        <v>56</v>
      </c>
      <c r="K4" s="12" t="s">
        <v>57</v>
      </c>
      <c r="L4" s="6" t="s">
        <v>42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62</v>
      </c>
      <c r="B5" s="7"/>
      <c r="C5" s="6" t="s">
        <v>22</v>
      </c>
      <c r="D5" s="6" t="s">
        <v>23</v>
      </c>
      <c r="E5" s="6" t="s">
        <v>31</v>
      </c>
      <c r="F5" s="6" t="s">
        <v>31</v>
      </c>
      <c r="G5" s="6" t="s">
        <v>64</v>
      </c>
      <c r="H5" s="7"/>
      <c r="I5" s="8">
        <v>44895.880636574075</v>
      </c>
      <c r="J5" s="6" t="s">
        <v>66</v>
      </c>
      <c r="K5" s="12" t="s">
        <v>67</v>
      </c>
      <c r="L5" s="6" t="s">
        <v>42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73</v>
      </c>
      <c r="B6" s="7"/>
      <c r="C6" s="6" t="s">
        <v>22</v>
      </c>
      <c r="D6" s="6" t="s">
        <v>23</v>
      </c>
      <c r="E6" s="6" t="s">
        <v>31</v>
      </c>
      <c r="F6" s="6" t="s">
        <v>31</v>
      </c>
      <c r="G6" s="6" t="s">
        <v>74</v>
      </c>
      <c r="H6" s="7"/>
      <c r="I6" s="8">
        <v>44895.880636574075</v>
      </c>
      <c r="J6" s="6" t="s">
        <v>75</v>
      </c>
      <c r="K6" s="12" t="s">
        <v>77</v>
      </c>
      <c r="L6" s="6" t="s">
        <v>42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79</v>
      </c>
      <c r="B7" s="7"/>
      <c r="C7" s="6" t="s">
        <v>22</v>
      </c>
      <c r="D7" s="6" t="s">
        <v>23</v>
      </c>
      <c r="E7" s="6" t="s">
        <v>31</v>
      </c>
      <c r="F7" s="6" t="s">
        <v>31</v>
      </c>
      <c r="G7" s="6" t="s">
        <v>80</v>
      </c>
      <c r="H7" s="7"/>
      <c r="I7" s="8">
        <v>44895.880636574075</v>
      </c>
      <c r="J7" s="6" t="s">
        <v>81</v>
      </c>
      <c r="K7" s="12" t="s">
        <v>82</v>
      </c>
      <c r="L7" s="6" t="s">
        <v>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89</v>
      </c>
      <c r="B8" s="7"/>
      <c r="C8" s="6" t="s">
        <v>22</v>
      </c>
      <c r="D8" s="6" t="s">
        <v>23</v>
      </c>
      <c r="E8" s="6" t="s">
        <v>31</v>
      </c>
      <c r="F8" s="6" t="s">
        <v>31</v>
      </c>
      <c r="G8" s="6" t="s">
        <v>92</v>
      </c>
      <c r="H8" s="7"/>
      <c r="I8" s="8">
        <v>44895.880636574075</v>
      </c>
      <c r="J8" s="6" t="s">
        <v>93</v>
      </c>
      <c r="K8" s="12" t="s">
        <v>94</v>
      </c>
      <c r="L8" s="6" t="s">
        <v>42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97</v>
      </c>
      <c r="B9" s="7"/>
      <c r="C9" s="6" t="s">
        <v>22</v>
      </c>
      <c r="D9" s="6" t="s">
        <v>23</v>
      </c>
      <c r="E9" s="6" t="s">
        <v>31</v>
      </c>
      <c r="F9" s="6" t="s">
        <v>31</v>
      </c>
      <c r="G9" s="6" t="s">
        <v>100</v>
      </c>
      <c r="H9" s="7"/>
      <c r="I9" s="8">
        <v>44895.880636574075</v>
      </c>
      <c r="J9" s="6" t="s">
        <v>101</v>
      </c>
      <c r="K9" s="12" t="s">
        <v>102</v>
      </c>
      <c r="L9" s="6" t="s">
        <v>42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83</v>
      </c>
      <c r="B10" s="7"/>
      <c r="C10" s="6" t="s">
        <v>22</v>
      </c>
      <c r="D10" s="6" t="s">
        <v>23</v>
      </c>
      <c r="E10" s="6" t="s">
        <v>31</v>
      </c>
      <c r="F10" s="6" t="s">
        <v>31</v>
      </c>
      <c r="G10" s="6" t="s">
        <v>85</v>
      </c>
      <c r="H10" s="7"/>
      <c r="I10" s="8">
        <v>44895.880636574075</v>
      </c>
      <c r="J10" s="6" t="s">
        <v>84</v>
      </c>
      <c r="K10" s="12" t="s">
        <v>107</v>
      </c>
      <c r="L10" s="6" t="s">
        <v>42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112</v>
      </c>
      <c r="B11" s="7"/>
      <c r="C11" s="6" t="s">
        <v>22</v>
      </c>
      <c r="D11" s="6" t="s">
        <v>23</v>
      </c>
      <c r="E11" s="6" t="s">
        <v>31</v>
      </c>
      <c r="F11" s="6" t="s">
        <v>31</v>
      </c>
      <c r="G11" s="6" t="s">
        <v>113</v>
      </c>
      <c r="H11" s="7"/>
      <c r="I11" s="8">
        <v>44895.880636574075</v>
      </c>
      <c r="J11" s="6" t="s">
        <v>114</v>
      </c>
      <c r="K11" s="12" t="s">
        <v>115</v>
      </c>
      <c r="L11" s="6" t="s">
        <v>42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121</v>
      </c>
      <c r="B12" s="7"/>
      <c r="C12" s="6" t="s">
        <v>22</v>
      </c>
      <c r="D12" s="6" t="s">
        <v>23</v>
      </c>
      <c r="E12" s="6" t="s">
        <v>31</v>
      </c>
      <c r="F12" s="6" t="s">
        <v>31</v>
      </c>
      <c r="G12" s="6" t="s">
        <v>122</v>
      </c>
      <c r="H12" s="7"/>
      <c r="I12" s="8">
        <v>44895.880636574075</v>
      </c>
      <c r="J12" s="6" t="s">
        <v>123</v>
      </c>
      <c r="K12" s="12" t="s">
        <v>124</v>
      </c>
      <c r="L12" s="6" t="s">
        <v>42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129</v>
      </c>
      <c r="B13" s="7"/>
      <c r="C13" s="6" t="s">
        <v>22</v>
      </c>
      <c r="D13" s="6" t="s">
        <v>23</v>
      </c>
      <c r="E13" s="6" t="s">
        <v>31</v>
      </c>
      <c r="F13" s="6" t="s">
        <v>31</v>
      </c>
      <c r="G13" s="6" t="s">
        <v>130</v>
      </c>
      <c r="H13" s="7"/>
      <c r="I13" s="8">
        <v>44895.880636574075</v>
      </c>
      <c r="J13" s="6" t="s">
        <v>131</v>
      </c>
      <c r="K13" s="12" t="s">
        <v>132</v>
      </c>
      <c r="L13" s="6" t="s">
        <v>42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137</v>
      </c>
      <c r="B14" s="7"/>
      <c r="C14" s="6" t="s">
        <v>22</v>
      </c>
      <c r="D14" s="6" t="s">
        <v>23</v>
      </c>
      <c r="E14" s="6" t="s">
        <v>31</v>
      </c>
      <c r="F14" s="6" t="s">
        <v>31</v>
      </c>
      <c r="G14" s="6" t="s">
        <v>138</v>
      </c>
      <c r="H14" s="7"/>
      <c r="I14" s="8">
        <v>44895.880636574075</v>
      </c>
      <c r="J14" s="6" t="s">
        <v>139</v>
      </c>
      <c r="K14" s="12" t="s">
        <v>140</v>
      </c>
      <c r="L14" s="6" t="s">
        <v>42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142</v>
      </c>
      <c r="B15" s="7"/>
      <c r="C15" s="6" t="s">
        <v>22</v>
      </c>
      <c r="D15" s="6" t="s">
        <v>23</v>
      </c>
      <c r="E15" s="6" t="s">
        <v>31</v>
      </c>
      <c r="F15" s="6" t="s">
        <v>31</v>
      </c>
      <c r="G15" s="6" t="s">
        <v>143</v>
      </c>
      <c r="H15" s="7"/>
      <c r="I15" s="8">
        <v>44895.880636574075</v>
      </c>
      <c r="J15" s="6" t="s">
        <v>144</v>
      </c>
      <c r="K15" s="12" t="s">
        <v>145</v>
      </c>
      <c r="L15" s="6" t="s">
        <v>42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147</v>
      </c>
      <c r="B16" s="7"/>
      <c r="C16" s="6" t="s">
        <v>22</v>
      </c>
      <c r="D16" s="6" t="s">
        <v>23</v>
      </c>
      <c r="E16" s="6" t="s">
        <v>31</v>
      </c>
      <c r="F16" s="6" t="s">
        <v>31</v>
      </c>
      <c r="G16" s="6" t="s">
        <v>148</v>
      </c>
      <c r="H16" s="7"/>
      <c r="I16" s="8">
        <v>44895.880636574075</v>
      </c>
      <c r="J16" s="6" t="s">
        <v>149</v>
      </c>
      <c r="K16" s="12" t="s">
        <v>150</v>
      </c>
      <c r="L16" s="6" t="s">
        <v>42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155</v>
      </c>
      <c r="B17" s="7"/>
      <c r="C17" s="6" t="s">
        <v>22</v>
      </c>
      <c r="D17" s="6" t="s">
        <v>23</v>
      </c>
      <c r="E17" s="6" t="s">
        <v>31</v>
      </c>
      <c r="F17" s="6" t="s">
        <v>31</v>
      </c>
      <c r="G17" s="6" t="s">
        <v>156</v>
      </c>
      <c r="H17" s="7"/>
      <c r="I17" s="8">
        <v>44895.880636574075</v>
      </c>
      <c r="J17" s="6" t="s">
        <v>157</v>
      </c>
      <c r="K17" s="12" t="s">
        <v>158</v>
      </c>
      <c r="L17" s="6" t="s">
        <v>42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19</v>
      </c>
      <c r="B18" s="7"/>
      <c r="C18" s="6" t="s">
        <v>22</v>
      </c>
      <c r="D18" s="6" t="s">
        <v>23</v>
      </c>
      <c r="E18" s="6" t="s">
        <v>31</v>
      </c>
      <c r="F18" s="6" t="s">
        <v>31</v>
      </c>
      <c r="G18" s="6" t="s">
        <v>28</v>
      </c>
      <c r="H18" s="7"/>
      <c r="I18" s="8">
        <v>44895.880636574075</v>
      </c>
      <c r="J18" s="6" t="s">
        <v>27</v>
      </c>
      <c r="K18" s="12" t="s">
        <v>160</v>
      </c>
      <c r="L18" s="6" t="s">
        <v>42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 t="s">
        <v>165</v>
      </c>
      <c r="B19" s="7"/>
      <c r="C19" s="6" t="s">
        <v>22</v>
      </c>
      <c r="D19" s="6" t="s">
        <v>23</v>
      </c>
      <c r="E19" s="6" t="s">
        <v>31</v>
      </c>
      <c r="F19" s="6" t="s">
        <v>31</v>
      </c>
      <c r="G19" s="6" t="s">
        <v>166</v>
      </c>
      <c r="H19" s="7"/>
      <c r="I19" s="8">
        <v>44895.880636574075</v>
      </c>
      <c r="J19" s="6" t="s">
        <v>167</v>
      </c>
      <c r="K19" s="12" t="s">
        <v>168</v>
      </c>
      <c r="L19" s="6" t="s">
        <v>42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173</v>
      </c>
      <c r="B20" s="7"/>
      <c r="C20" s="6" t="s">
        <v>22</v>
      </c>
      <c r="D20" s="6" t="s">
        <v>23</v>
      </c>
      <c r="E20" s="6" t="s">
        <v>31</v>
      </c>
      <c r="F20" s="6" t="s">
        <v>31</v>
      </c>
      <c r="G20" s="6" t="s">
        <v>174</v>
      </c>
      <c r="H20" s="7"/>
      <c r="I20" s="8">
        <v>44895.880636574075</v>
      </c>
      <c r="J20" s="6" t="s">
        <v>175</v>
      </c>
      <c r="K20" s="12" t="s">
        <v>176</v>
      </c>
      <c r="L20" s="6" t="s">
        <v>42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55</v>
      </c>
      <c r="B21" s="7"/>
      <c r="C21" s="6" t="s">
        <v>22</v>
      </c>
      <c r="D21" s="6" t="s">
        <v>23</v>
      </c>
      <c r="E21" s="6" t="s">
        <v>31</v>
      </c>
      <c r="F21" s="6" t="s">
        <v>31</v>
      </c>
      <c r="G21" s="6" t="s">
        <v>59</v>
      </c>
      <c r="H21" s="7"/>
      <c r="I21" s="8">
        <v>44895.880636574075</v>
      </c>
      <c r="J21" s="6" t="s">
        <v>58</v>
      </c>
      <c r="K21" s="12" t="s">
        <v>181</v>
      </c>
      <c r="L21" s="6" t="s">
        <v>42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 t="s">
        <v>38</v>
      </c>
      <c r="B22" s="7"/>
      <c r="C22" s="6" t="s">
        <v>22</v>
      </c>
      <c r="D22" s="6" t="s">
        <v>23</v>
      </c>
      <c r="E22" s="6" t="s">
        <v>31</v>
      </c>
      <c r="F22" s="6" t="s">
        <v>31</v>
      </c>
      <c r="G22" s="6" t="s">
        <v>40</v>
      </c>
      <c r="H22" s="7"/>
      <c r="I22" s="8">
        <v>44895.880636574075</v>
      </c>
      <c r="J22" s="6" t="s">
        <v>39</v>
      </c>
      <c r="K22" s="12" t="s">
        <v>187</v>
      </c>
      <c r="L22" s="6" t="s">
        <v>42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 t="s">
        <v>103</v>
      </c>
      <c r="B23" s="7"/>
      <c r="C23" s="6" t="s">
        <v>22</v>
      </c>
      <c r="D23" s="6" t="s">
        <v>23</v>
      </c>
      <c r="E23" s="6" t="s">
        <v>31</v>
      </c>
      <c r="F23" s="6" t="s">
        <v>31</v>
      </c>
      <c r="G23" s="6" t="s">
        <v>105</v>
      </c>
      <c r="H23" s="7"/>
      <c r="I23" s="8">
        <v>44895.880636574075</v>
      </c>
      <c r="J23" s="6" t="s">
        <v>104</v>
      </c>
      <c r="K23" s="12" t="s">
        <v>192</v>
      </c>
      <c r="L23" s="6" t="s">
        <v>42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 t="s">
        <v>196</v>
      </c>
      <c r="B24" s="7"/>
      <c r="C24" s="6" t="s">
        <v>22</v>
      </c>
      <c r="D24" s="6" t="s">
        <v>23</v>
      </c>
      <c r="E24" s="6" t="s">
        <v>31</v>
      </c>
      <c r="F24" s="6" t="s">
        <v>31</v>
      </c>
      <c r="G24" s="6" t="s">
        <v>198</v>
      </c>
      <c r="H24" s="7"/>
      <c r="I24" s="8">
        <v>44895.880636574075</v>
      </c>
      <c r="J24" s="6" t="s">
        <v>199</v>
      </c>
      <c r="K24" s="12" t="s">
        <v>200</v>
      </c>
      <c r="L24" s="6" t="s">
        <v>42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 t="s">
        <v>204</v>
      </c>
      <c r="B25" s="7"/>
      <c r="C25" s="6" t="s">
        <v>22</v>
      </c>
      <c r="D25" s="6" t="s">
        <v>23</v>
      </c>
      <c r="E25" s="6" t="s">
        <v>31</v>
      </c>
      <c r="F25" s="6" t="s">
        <v>31</v>
      </c>
      <c r="G25" s="6" t="s">
        <v>205</v>
      </c>
      <c r="H25" s="7"/>
      <c r="I25" s="8">
        <v>44895.880636574075</v>
      </c>
      <c r="J25" s="6" t="s">
        <v>207</v>
      </c>
      <c r="K25" s="12" t="s">
        <v>208</v>
      </c>
      <c r="L25" s="6" t="s">
        <v>42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 t="s">
        <v>212</v>
      </c>
      <c r="B26" s="7"/>
      <c r="C26" s="6" t="s">
        <v>22</v>
      </c>
      <c r="D26" s="6" t="s">
        <v>23</v>
      </c>
      <c r="E26" s="6" t="s">
        <v>31</v>
      </c>
      <c r="F26" s="6" t="s">
        <v>31</v>
      </c>
      <c r="G26" s="6" t="s">
        <v>214</v>
      </c>
      <c r="H26" s="7"/>
      <c r="I26" s="8">
        <v>44895.880636574075</v>
      </c>
      <c r="J26" s="6" t="s">
        <v>215</v>
      </c>
      <c r="K26" s="12" t="s">
        <v>216</v>
      </c>
      <c r="L26" s="6" t="s">
        <v>42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 t="s">
        <v>221</v>
      </c>
      <c r="B27" s="7"/>
      <c r="C27" s="6" t="s">
        <v>22</v>
      </c>
      <c r="D27" s="6" t="s">
        <v>23</v>
      </c>
      <c r="E27" s="6" t="s">
        <v>31</v>
      </c>
      <c r="F27" s="6" t="s">
        <v>31</v>
      </c>
      <c r="G27" s="6" t="s">
        <v>224</v>
      </c>
      <c r="H27" s="7"/>
      <c r="I27" s="8">
        <v>44895.880636574075</v>
      </c>
      <c r="J27" s="6" t="s">
        <v>226</v>
      </c>
      <c r="K27" s="12" t="s">
        <v>227</v>
      </c>
      <c r="L27" s="6" t="s">
        <v>42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 t="s">
        <v>229</v>
      </c>
      <c r="B28" s="7"/>
      <c r="C28" s="6" t="s">
        <v>22</v>
      </c>
      <c r="D28" s="6" t="s">
        <v>23</v>
      </c>
      <c r="E28" s="6" t="s">
        <v>31</v>
      </c>
      <c r="F28" s="6" t="s">
        <v>31</v>
      </c>
      <c r="G28" s="6" t="s">
        <v>233</v>
      </c>
      <c r="H28" s="7"/>
      <c r="I28" s="8">
        <v>44895.880636574075</v>
      </c>
      <c r="J28" s="6" t="s">
        <v>234</v>
      </c>
      <c r="K28" s="12" t="s">
        <v>235</v>
      </c>
      <c r="L28" s="6" t="s">
        <v>42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 t="s">
        <v>133</v>
      </c>
      <c r="B29" s="7"/>
      <c r="C29" s="6" t="s">
        <v>22</v>
      </c>
      <c r="D29" s="6" t="s">
        <v>23</v>
      </c>
      <c r="E29" s="6" t="s">
        <v>31</v>
      </c>
      <c r="F29" s="6" t="s">
        <v>31</v>
      </c>
      <c r="G29" s="6" t="s">
        <v>135</v>
      </c>
      <c r="H29" s="7"/>
      <c r="I29" s="8">
        <v>44895.880636574075</v>
      </c>
      <c r="J29" s="6" t="s">
        <v>134</v>
      </c>
      <c r="K29" s="12" t="s">
        <v>240</v>
      </c>
      <c r="L29" s="6" t="s">
        <v>42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 t="s">
        <v>245</v>
      </c>
      <c r="B30" s="7"/>
      <c r="C30" s="6" t="s">
        <v>22</v>
      </c>
      <c r="D30" s="6" t="s">
        <v>23</v>
      </c>
      <c r="E30" s="6" t="s">
        <v>31</v>
      </c>
      <c r="F30" s="6" t="s">
        <v>31</v>
      </c>
      <c r="G30" s="6" t="s">
        <v>246</v>
      </c>
      <c r="H30" s="7"/>
      <c r="I30" s="8">
        <v>44895.880636574075</v>
      </c>
      <c r="J30" s="6" t="s">
        <v>247</v>
      </c>
      <c r="K30" s="12" t="s">
        <v>248</v>
      </c>
      <c r="L30" s="6" t="s">
        <v>42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 t="s">
        <v>253</v>
      </c>
      <c r="B31" s="7"/>
      <c r="C31" s="6" t="s">
        <v>22</v>
      </c>
      <c r="D31" s="6" t="s">
        <v>23</v>
      </c>
      <c r="E31" s="6" t="s">
        <v>31</v>
      </c>
      <c r="F31" s="6" t="s">
        <v>31</v>
      </c>
      <c r="G31" s="6" t="s">
        <v>254</v>
      </c>
      <c r="H31" s="7"/>
      <c r="I31" s="8">
        <v>44895.880636574075</v>
      </c>
      <c r="J31" s="6" t="s">
        <v>255</v>
      </c>
      <c r="K31" s="12" t="s">
        <v>256</v>
      </c>
      <c r="L31" s="6" t="s">
        <v>42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" t="s">
        <v>261</v>
      </c>
      <c r="B32" s="7"/>
      <c r="C32" s="6" t="s">
        <v>22</v>
      </c>
      <c r="D32" s="6" t="s">
        <v>23</v>
      </c>
      <c r="E32" s="6" t="s">
        <v>31</v>
      </c>
      <c r="F32" s="6" t="s">
        <v>31</v>
      </c>
      <c r="G32" s="6" t="s">
        <v>262</v>
      </c>
      <c r="H32" s="7"/>
      <c r="I32" s="8">
        <v>44895.880636574075</v>
      </c>
      <c r="J32" s="6" t="s">
        <v>263</v>
      </c>
      <c r="K32" s="12" t="s">
        <v>264</v>
      </c>
      <c r="L32" s="6" t="s">
        <v>42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6" t="s">
        <v>269</v>
      </c>
      <c r="B33" s="7"/>
      <c r="C33" s="6" t="s">
        <v>22</v>
      </c>
      <c r="D33" s="6" t="s">
        <v>23</v>
      </c>
      <c r="E33" s="6" t="s">
        <v>31</v>
      </c>
      <c r="F33" s="6" t="s">
        <v>31</v>
      </c>
      <c r="G33" s="6" t="s">
        <v>270</v>
      </c>
      <c r="H33" s="7"/>
      <c r="I33" s="8">
        <v>44895.880636574075</v>
      </c>
      <c r="J33" s="6" t="s">
        <v>271</v>
      </c>
      <c r="K33" s="12" t="s">
        <v>272</v>
      </c>
      <c r="L33" s="6" t="s">
        <v>42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6" t="s">
        <v>277</v>
      </c>
      <c r="B34" s="7"/>
      <c r="C34" s="6" t="s">
        <v>22</v>
      </c>
      <c r="D34" s="6" t="s">
        <v>23</v>
      </c>
      <c r="E34" s="6" t="s">
        <v>31</v>
      </c>
      <c r="F34" s="6" t="s">
        <v>31</v>
      </c>
      <c r="G34" s="6" t="s">
        <v>278</v>
      </c>
      <c r="H34" s="7"/>
      <c r="I34" s="8">
        <v>44895.880636574075</v>
      </c>
      <c r="J34" s="6" t="s">
        <v>279</v>
      </c>
      <c r="K34" s="12" t="s">
        <v>280</v>
      </c>
      <c r="L34" s="6" t="s">
        <v>42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6" t="s">
        <v>285</v>
      </c>
      <c r="B35" s="7"/>
      <c r="C35" s="6" t="s">
        <v>22</v>
      </c>
      <c r="D35" s="6" t="s">
        <v>23</v>
      </c>
      <c r="E35" s="6" t="s">
        <v>31</v>
      </c>
      <c r="F35" s="6" t="s">
        <v>31</v>
      </c>
      <c r="G35" s="6" t="s">
        <v>286</v>
      </c>
      <c r="H35" s="7"/>
      <c r="I35" s="8">
        <v>44895.880636574075</v>
      </c>
      <c r="J35" s="6" t="s">
        <v>287</v>
      </c>
      <c r="K35" s="12" t="s">
        <v>288</v>
      </c>
      <c r="L35" s="6" t="s">
        <v>42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95</v>
      </c>
      <c r="B36" s="7"/>
      <c r="C36" s="6" t="s">
        <v>22</v>
      </c>
      <c r="D36" s="6" t="s">
        <v>23</v>
      </c>
      <c r="E36" s="6" t="s">
        <v>31</v>
      </c>
      <c r="F36" s="6" t="s">
        <v>31</v>
      </c>
      <c r="G36" s="6" t="s">
        <v>98</v>
      </c>
      <c r="H36" s="7"/>
      <c r="I36" s="8">
        <v>44895.880636574075</v>
      </c>
      <c r="J36" s="6" t="s">
        <v>96</v>
      </c>
      <c r="K36" s="12" t="s">
        <v>293</v>
      </c>
      <c r="L36" s="6" t="s">
        <v>42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6" t="s">
        <v>298</v>
      </c>
      <c r="B37" s="7"/>
      <c r="C37" s="6" t="s">
        <v>22</v>
      </c>
      <c r="D37" s="6" t="s">
        <v>23</v>
      </c>
      <c r="E37" s="6" t="s">
        <v>31</v>
      </c>
      <c r="F37" s="6" t="s">
        <v>31</v>
      </c>
      <c r="G37" s="6" t="s">
        <v>299</v>
      </c>
      <c r="H37" s="7"/>
      <c r="I37" s="8">
        <v>44895.880636574075</v>
      </c>
      <c r="J37" s="6" t="s">
        <v>300</v>
      </c>
      <c r="K37" s="12" t="s">
        <v>301</v>
      </c>
      <c r="L37" s="6" t="s">
        <v>42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" t="s">
        <v>47</v>
      </c>
      <c r="B38" s="7"/>
      <c r="C38" s="6" t="s">
        <v>22</v>
      </c>
      <c r="D38" s="6" t="s">
        <v>23</v>
      </c>
      <c r="E38" s="6" t="s">
        <v>31</v>
      </c>
      <c r="F38" s="6" t="s">
        <v>31</v>
      </c>
      <c r="G38" s="6" t="s">
        <v>51</v>
      </c>
      <c r="H38" s="7"/>
      <c r="I38" s="8">
        <v>44895.880636574075</v>
      </c>
      <c r="J38" s="6" t="s">
        <v>49</v>
      </c>
      <c r="K38" s="12" t="s">
        <v>307</v>
      </c>
      <c r="L38" s="6" t="s">
        <v>42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" t="s">
        <v>63</v>
      </c>
      <c r="B39" s="7"/>
      <c r="C39" s="6" t="s">
        <v>22</v>
      </c>
      <c r="D39" s="6" t="s">
        <v>23</v>
      </c>
      <c r="E39" s="6" t="s">
        <v>31</v>
      </c>
      <c r="F39" s="6" t="s">
        <v>31</v>
      </c>
      <c r="G39" s="6" t="s">
        <v>69</v>
      </c>
      <c r="H39" s="7"/>
      <c r="I39" s="8">
        <v>44895.880636574075</v>
      </c>
      <c r="J39" s="6" t="s">
        <v>68</v>
      </c>
      <c r="K39" s="12" t="s">
        <v>315</v>
      </c>
      <c r="L39" s="6" t="s">
        <v>42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 t="s">
        <v>317</v>
      </c>
      <c r="B40" s="7"/>
      <c r="C40" s="6" t="s">
        <v>22</v>
      </c>
      <c r="D40" s="6" t="s">
        <v>23</v>
      </c>
      <c r="E40" s="6" t="s">
        <v>31</v>
      </c>
      <c r="F40" s="6" t="s">
        <v>31</v>
      </c>
      <c r="G40" s="6" t="s">
        <v>320</v>
      </c>
      <c r="H40" s="7"/>
      <c r="I40" s="8">
        <v>44895.880636574075</v>
      </c>
      <c r="J40" s="6" t="s">
        <v>322</v>
      </c>
      <c r="K40" s="12" t="s">
        <v>323</v>
      </c>
      <c r="L40" s="6" t="s">
        <v>42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6" t="s">
        <v>125</v>
      </c>
      <c r="B41" s="7"/>
      <c r="C41" s="6" t="s">
        <v>22</v>
      </c>
      <c r="D41" s="6" t="s">
        <v>23</v>
      </c>
      <c r="E41" s="6" t="s">
        <v>31</v>
      </c>
      <c r="F41" s="6" t="s">
        <v>31</v>
      </c>
      <c r="G41" s="6" t="s">
        <v>127</v>
      </c>
      <c r="H41" s="7"/>
      <c r="I41" s="8">
        <v>44895.880636574075</v>
      </c>
      <c r="J41" s="6" t="s">
        <v>126</v>
      </c>
      <c r="K41" s="12" t="s">
        <v>328</v>
      </c>
      <c r="L41" s="6" t="s">
        <v>42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6" t="s">
        <v>330</v>
      </c>
      <c r="B42" s="7"/>
      <c r="C42" s="6" t="s">
        <v>22</v>
      </c>
      <c r="D42" s="6" t="s">
        <v>23</v>
      </c>
      <c r="E42" s="6" t="s">
        <v>31</v>
      </c>
      <c r="F42" s="6" t="s">
        <v>31</v>
      </c>
      <c r="G42" s="6" t="s">
        <v>333</v>
      </c>
      <c r="H42" s="7"/>
      <c r="I42" s="8">
        <v>44895.880636574075</v>
      </c>
      <c r="J42" s="6" t="s">
        <v>335</v>
      </c>
      <c r="K42" s="12" t="s">
        <v>336</v>
      </c>
      <c r="L42" s="6" t="s">
        <v>42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6" t="s">
        <v>339</v>
      </c>
      <c r="B43" s="7"/>
      <c r="C43" s="6" t="s">
        <v>22</v>
      </c>
      <c r="D43" s="6" t="s">
        <v>23</v>
      </c>
      <c r="E43" s="6" t="s">
        <v>31</v>
      </c>
      <c r="F43" s="6" t="s">
        <v>31</v>
      </c>
      <c r="G43" s="6" t="s">
        <v>342</v>
      </c>
      <c r="H43" s="7"/>
      <c r="I43" s="8">
        <v>44895.880636574075</v>
      </c>
      <c r="J43" s="6" t="s">
        <v>343</v>
      </c>
      <c r="K43" s="12" t="s">
        <v>344</v>
      </c>
      <c r="L43" s="6" t="s">
        <v>42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6" t="s">
        <v>108</v>
      </c>
      <c r="B44" s="7"/>
      <c r="C44" s="6" t="s">
        <v>22</v>
      </c>
      <c r="D44" s="6" t="s">
        <v>23</v>
      </c>
      <c r="E44" s="6" t="s">
        <v>31</v>
      </c>
      <c r="F44" s="6" t="s">
        <v>31</v>
      </c>
      <c r="G44" s="6" t="s">
        <v>110</v>
      </c>
      <c r="H44" s="7"/>
      <c r="I44" s="8">
        <v>44895.880636574075</v>
      </c>
      <c r="J44" s="6" t="s">
        <v>109</v>
      </c>
      <c r="K44" s="12" t="s">
        <v>349</v>
      </c>
      <c r="L44" s="6" t="s">
        <v>42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6" t="s">
        <v>354</v>
      </c>
      <c r="B45" s="7"/>
      <c r="C45" s="6" t="s">
        <v>22</v>
      </c>
      <c r="D45" s="6" t="s">
        <v>23</v>
      </c>
      <c r="E45" s="6" t="s">
        <v>31</v>
      </c>
      <c r="F45" s="6" t="s">
        <v>31</v>
      </c>
      <c r="G45" s="6" t="s">
        <v>355</v>
      </c>
      <c r="H45" s="7"/>
      <c r="I45" s="8">
        <v>44895.880636574075</v>
      </c>
      <c r="J45" s="6" t="s">
        <v>356</v>
      </c>
      <c r="K45" s="12" t="s">
        <v>357</v>
      </c>
      <c r="L45" s="6" t="s">
        <v>42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6" t="s">
        <v>361</v>
      </c>
      <c r="B46" s="7"/>
      <c r="C46" s="6" t="s">
        <v>22</v>
      </c>
      <c r="D46" s="6" t="s">
        <v>23</v>
      </c>
      <c r="E46" s="6" t="s">
        <v>31</v>
      </c>
      <c r="F46" s="6" t="s">
        <v>31</v>
      </c>
      <c r="G46" s="6" t="s">
        <v>363</v>
      </c>
      <c r="H46" s="7"/>
      <c r="I46" s="8">
        <v>44895.880636574075</v>
      </c>
      <c r="J46" s="6" t="s">
        <v>364</v>
      </c>
      <c r="K46" s="12" t="s">
        <v>365</v>
      </c>
      <c r="L46" s="6" t="s">
        <v>42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6" t="s">
        <v>370</v>
      </c>
      <c r="B47" s="7"/>
      <c r="C47" s="6" t="s">
        <v>22</v>
      </c>
      <c r="D47" s="6" t="s">
        <v>23</v>
      </c>
      <c r="E47" s="6" t="s">
        <v>31</v>
      </c>
      <c r="F47" s="6" t="s">
        <v>31</v>
      </c>
      <c r="G47" s="6" t="s">
        <v>371</v>
      </c>
      <c r="H47" s="7"/>
      <c r="I47" s="8">
        <v>44895.880636574075</v>
      </c>
      <c r="J47" s="6" t="s">
        <v>372</v>
      </c>
      <c r="K47" s="12" t="s">
        <v>373</v>
      </c>
      <c r="L47" s="6" t="s">
        <v>42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" t="s">
        <v>378</v>
      </c>
      <c r="B48" s="7"/>
      <c r="C48" s="6" t="s">
        <v>22</v>
      </c>
      <c r="D48" s="6" t="s">
        <v>23</v>
      </c>
      <c r="E48" s="6" t="s">
        <v>31</v>
      </c>
      <c r="F48" s="6" t="s">
        <v>31</v>
      </c>
      <c r="G48" s="6" t="s">
        <v>379</v>
      </c>
      <c r="H48" s="7"/>
      <c r="I48" s="8">
        <v>44895.880636574075</v>
      </c>
      <c r="J48" s="6" t="s">
        <v>380</v>
      </c>
      <c r="K48" s="12" t="s">
        <v>381</v>
      </c>
      <c r="L48" s="6" t="s">
        <v>42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" t="s">
        <v>386</v>
      </c>
      <c r="B49" s="7"/>
      <c r="C49" s="6" t="s">
        <v>22</v>
      </c>
      <c r="D49" s="6" t="s">
        <v>23</v>
      </c>
      <c r="E49" s="6" t="s">
        <v>31</v>
      </c>
      <c r="F49" s="6" t="s">
        <v>31</v>
      </c>
      <c r="G49" s="6" t="s">
        <v>387</v>
      </c>
      <c r="H49" s="7"/>
      <c r="I49" s="8">
        <v>44895.880636574075</v>
      </c>
      <c r="J49" s="6" t="s">
        <v>388</v>
      </c>
      <c r="K49" s="12" t="s">
        <v>389</v>
      </c>
      <c r="L49" s="6" t="s">
        <v>42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6" t="s">
        <v>394</v>
      </c>
      <c r="B50" s="7"/>
      <c r="C50" s="6" t="s">
        <v>22</v>
      </c>
      <c r="D50" s="6" t="s">
        <v>23</v>
      </c>
      <c r="E50" s="6" t="s">
        <v>31</v>
      </c>
      <c r="F50" s="6" t="s">
        <v>395</v>
      </c>
      <c r="G50" s="6" t="s">
        <v>396</v>
      </c>
      <c r="H50" s="7"/>
      <c r="I50" s="8">
        <v>44895.880636574075</v>
      </c>
      <c r="J50" s="6" t="s">
        <v>397</v>
      </c>
      <c r="K50" s="12" t="s">
        <v>398</v>
      </c>
      <c r="L50" s="6" t="s">
        <v>42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6" t="s">
        <v>400</v>
      </c>
      <c r="B51" s="7"/>
      <c r="C51" s="6" t="s">
        <v>22</v>
      </c>
      <c r="D51" s="6" t="s">
        <v>23</v>
      </c>
      <c r="E51" s="6" t="s">
        <v>31</v>
      </c>
      <c r="F51" s="6" t="s">
        <v>395</v>
      </c>
      <c r="G51" s="6" t="s">
        <v>401</v>
      </c>
      <c r="H51" s="7"/>
      <c r="I51" s="8">
        <v>44895.880636574075</v>
      </c>
      <c r="J51" s="6" t="s">
        <v>402</v>
      </c>
      <c r="K51" s="12" t="s">
        <v>403</v>
      </c>
      <c r="L51" s="6" t="s">
        <v>42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" t="s">
        <v>408</v>
      </c>
      <c r="B52" s="7"/>
      <c r="C52" s="6" t="s">
        <v>22</v>
      </c>
      <c r="D52" s="6" t="s">
        <v>23</v>
      </c>
      <c r="E52" s="6" t="s">
        <v>31</v>
      </c>
      <c r="F52" s="6" t="s">
        <v>395</v>
      </c>
      <c r="G52" s="6" t="s">
        <v>409</v>
      </c>
      <c r="H52" s="7"/>
      <c r="I52" s="8">
        <v>44895.880636574075</v>
      </c>
      <c r="J52" s="6" t="s">
        <v>410</v>
      </c>
      <c r="K52" s="12" t="s">
        <v>411</v>
      </c>
      <c r="L52" s="6" t="s">
        <v>42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6" t="s">
        <v>416</v>
      </c>
      <c r="B53" s="7"/>
      <c r="C53" s="6" t="s">
        <v>22</v>
      </c>
      <c r="D53" s="6" t="s">
        <v>23</v>
      </c>
      <c r="E53" s="6" t="s">
        <v>31</v>
      </c>
      <c r="F53" s="6" t="s">
        <v>31</v>
      </c>
      <c r="G53" s="6" t="s">
        <v>417</v>
      </c>
      <c r="H53" s="7"/>
      <c r="I53" s="8">
        <v>44895.880636574075</v>
      </c>
      <c r="J53" s="6" t="s">
        <v>418</v>
      </c>
      <c r="K53" s="12" t="s">
        <v>419</v>
      </c>
      <c r="L53" s="6" t="s">
        <v>42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" t="s">
        <v>425</v>
      </c>
      <c r="B54" s="7"/>
      <c r="C54" s="6" t="s">
        <v>22</v>
      </c>
      <c r="D54" s="6" t="s">
        <v>23</v>
      </c>
      <c r="E54" s="6" t="s">
        <v>31</v>
      </c>
      <c r="F54" s="6" t="s">
        <v>31</v>
      </c>
      <c r="G54" s="6" t="s">
        <v>426</v>
      </c>
      <c r="H54" s="7"/>
      <c r="I54" s="8">
        <v>44895.880636574075</v>
      </c>
      <c r="J54" s="6" t="s">
        <v>427</v>
      </c>
      <c r="K54" s="12" t="s">
        <v>428</v>
      </c>
      <c r="L54" s="6" t="s">
        <v>42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6" t="s">
        <v>430</v>
      </c>
      <c r="B55" s="7"/>
      <c r="C55" s="6" t="s">
        <v>22</v>
      </c>
      <c r="D55" s="6" t="s">
        <v>23</v>
      </c>
      <c r="E55" s="6" t="s">
        <v>31</v>
      </c>
      <c r="F55" s="6" t="s">
        <v>31</v>
      </c>
      <c r="G55" s="6" t="s">
        <v>431</v>
      </c>
      <c r="H55" s="7"/>
      <c r="I55" s="8">
        <v>44895.880636574075</v>
      </c>
      <c r="J55" s="6" t="s">
        <v>432</v>
      </c>
      <c r="K55" s="12" t="s">
        <v>433</v>
      </c>
      <c r="L55" s="6" t="s">
        <v>42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" t="s">
        <v>436</v>
      </c>
      <c r="B56" s="7"/>
      <c r="C56" s="6" t="s">
        <v>22</v>
      </c>
      <c r="D56" s="6" t="s">
        <v>23</v>
      </c>
      <c r="E56" s="6" t="s">
        <v>31</v>
      </c>
      <c r="F56" s="6" t="s">
        <v>31</v>
      </c>
      <c r="G56" s="6" t="s">
        <v>437</v>
      </c>
      <c r="H56" s="7"/>
      <c r="I56" s="8">
        <v>44895.880636574075</v>
      </c>
      <c r="J56" s="6" t="s">
        <v>438</v>
      </c>
      <c r="K56" s="12" t="s">
        <v>439</v>
      </c>
      <c r="L56" s="6" t="s">
        <v>42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" t="s">
        <v>161</v>
      </c>
      <c r="B57" s="7"/>
      <c r="C57" s="6" t="s">
        <v>22</v>
      </c>
      <c r="D57" s="6" t="s">
        <v>23</v>
      </c>
      <c r="E57" s="6" t="s">
        <v>31</v>
      </c>
      <c r="F57" s="6" t="s">
        <v>31</v>
      </c>
      <c r="G57" s="6" t="s">
        <v>163</v>
      </c>
      <c r="H57" s="7"/>
      <c r="I57" s="8">
        <v>44895.880636574075</v>
      </c>
      <c r="J57" s="6" t="s">
        <v>162</v>
      </c>
      <c r="K57" s="12" t="s">
        <v>441</v>
      </c>
      <c r="L57" s="6" t="s">
        <v>42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 t="s">
        <v>447</v>
      </c>
      <c r="B58" s="7"/>
      <c r="C58" s="6" t="s">
        <v>22</v>
      </c>
      <c r="D58" s="6" t="s">
        <v>23</v>
      </c>
      <c r="E58" s="6" t="s">
        <v>31</v>
      </c>
      <c r="F58" s="6" t="s">
        <v>31</v>
      </c>
      <c r="G58" s="6" t="s">
        <v>448</v>
      </c>
      <c r="H58" s="7"/>
      <c r="I58" s="8">
        <v>44895.880636574075</v>
      </c>
      <c r="J58" s="6" t="s">
        <v>449</v>
      </c>
      <c r="K58" s="12" t="s">
        <v>450</v>
      </c>
      <c r="L58" s="6" t="s">
        <v>42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" t="s">
        <v>455</v>
      </c>
      <c r="B59" s="7"/>
      <c r="C59" s="6" t="s">
        <v>22</v>
      </c>
      <c r="D59" s="6" t="s">
        <v>23</v>
      </c>
      <c r="E59" s="6" t="s">
        <v>31</v>
      </c>
      <c r="F59" s="6" t="s">
        <v>31</v>
      </c>
      <c r="G59" s="6" t="s">
        <v>456</v>
      </c>
      <c r="H59" s="7"/>
      <c r="I59" s="8">
        <v>44895.880636574075</v>
      </c>
      <c r="J59" s="6" t="s">
        <v>457</v>
      </c>
      <c r="K59" s="12" t="s">
        <v>458</v>
      </c>
      <c r="L59" s="6" t="s">
        <v>42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" t="s">
        <v>463</v>
      </c>
      <c r="B60" s="7"/>
      <c r="C60" s="6" t="s">
        <v>22</v>
      </c>
      <c r="D60" s="6" t="s">
        <v>23</v>
      </c>
      <c r="E60" s="6" t="s">
        <v>31</v>
      </c>
      <c r="F60" s="6" t="s">
        <v>31</v>
      </c>
      <c r="G60" s="6" t="s">
        <v>464</v>
      </c>
      <c r="H60" s="7"/>
      <c r="I60" s="8">
        <v>44895.880636574075</v>
      </c>
      <c r="J60" s="6" t="s">
        <v>465</v>
      </c>
      <c r="K60" s="12" t="s">
        <v>466</v>
      </c>
      <c r="L60" s="6" t="s">
        <v>42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6" t="s">
        <v>468</v>
      </c>
      <c r="B61" s="7"/>
      <c r="C61" s="6" t="s">
        <v>22</v>
      </c>
      <c r="D61" s="6" t="s">
        <v>23</v>
      </c>
      <c r="E61" s="6" t="s">
        <v>31</v>
      </c>
      <c r="F61" s="6" t="s">
        <v>31</v>
      </c>
      <c r="G61" s="6" t="s">
        <v>469</v>
      </c>
      <c r="H61" s="7"/>
      <c r="I61" s="8">
        <v>44895.880636574075</v>
      </c>
      <c r="J61" s="6" t="s">
        <v>470</v>
      </c>
      <c r="K61" s="12" t="s">
        <v>471</v>
      </c>
      <c r="L61" s="6" t="s">
        <v>42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6" t="s">
        <v>473</v>
      </c>
      <c r="B62" s="7"/>
      <c r="C62" s="6" t="s">
        <v>22</v>
      </c>
      <c r="D62" s="6" t="s">
        <v>23</v>
      </c>
      <c r="E62" s="6" t="s">
        <v>31</v>
      </c>
      <c r="F62" s="6" t="s">
        <v>31</v>
      </c>
      <c r="G62" s="6" t="s">
        <v>474</v>
      </c>
      <c r="H62" s="7"/>
      <c r="I62" s="8">
        <v>44895.880636574075</v>
      </c>
      <c r="J62" s="6" t="s">
        <v>475</v>
      </c>
      <c r="K62" s="12" t="s">
        <v>476</v>
      </c>
      <c r="L62" s="6" t="s">
        <v>42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6" t="s">
        <v>481</v>
      </c>
      <c r="B63" s="7"/>
      <c r="C63" s="6" t="s">
        <v>22</v>
      </c>
      <c r="D63" s="6" t="s">
        <v>23</v>
      </c>
      <c r="E63" s="6" t="s">
        <v>31</v>
      </c>
      <c r="F63" s="6" t="s">
        <v>31</v>
      </c>
      <c r="G63" s="6" t="s">
        <v>482</v>
      </c>
      <c r="H63" s="7"/>
      <c r="I63" s="8">
        <v>44895.880636574075</v>
      </c>
      <c r="J63" s="6" t="s">
        <v>483</v>
      </c>
      <c r="K63" s="12" t="s">
        <v>484</v>
      </c>
      <c r="L63" s="6" t="s">
        <v>42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6" t="s">
        <v>489</v>
      </c>
      <c r="B64" s="7"/>
      <c r="C64" s="6" t="s">
        <v>22</v>
      </c>
      <c r="D64" s="6" t="s">
        <v>23</v>
      </c>
      <c r="E64" s="6" t="s">
        <v>31</v>
      </c>
      <c r="F64" s="6" t="s">
        <v>31</v>
      </c>
      <c r="G64" s="6" t="s">
        <v>490</v>
      </c>
      <c r="H64" s="7"/>
      <c r="I64" s="8">
        <v>44895.880636574075</v>
      </c>
      <c r="J64" s="6" t="s">
        <v>491</v>
      </c>
      <c r="K64" s="12" t="s">
        <v>492</v>
      </c>
      <c r="L64" s="6" t="s">
        <v>42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 t="s">
        <v>497</v>
      </c>
      <c r="B65" s="7"/>
      <c r="C65" s="6" t="s">
        <v>22</v>
      </c>
      <c r="D65" s="6" t="s">
        <v>23</v>
      </c>
      <c r="E65" s="6" t="s">
        <v>31</v>
      </c>
      <c r="F65" s="6" t="s">
        <v>31</v>
      </c>
      <c r="G65" s="6" t="s">
        <v>498</v>
      </c>
      <c r="H65" s="7"/>
      <c r="I65" s="8">
        <v>44895.880636574075</v>
      </c>
      <c r="J65" s="6" t="s">
        <v>500</v>
      </c>
      <c r="K65" s="12" t="s">
        <v>501</v>
      </c>
      <c r="L65" s="6" t="s">
        <v>42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6" t="s">
        <v>505</v>
      </c>
      <c r="B66" s="7"/>
      <c r="C66" s="6" t="s">
        <v>22</v>
      </c>
      <c r="D66" s="6" t="s">
        <v>23</v>
      </c>
      <c r="E66" s="6" t="s">
        <v>31</v>
      </c>
      <c r="F66" s="6" t="s">
        <v>31</v>
      </c>
      <c r="G66" s="6" t="s">
        <v>507</v>
      </c>
      <c r="H66" s="7"/>
      <c r="I66" s="8">
        <v>44895.880636574075</v>
      </c>
      <c r="J66" s="6" t="s">
        <v>508</v>
      </c>
      <c r="K66" s="12" t="s">
        <v>509</v>
      </c>
      <c r="L66" s="6" t="s">
        <v>42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6" t="s">
        <v>513</v>
      </c>
      <c r="B67" s="7"/>
      <c r="C67" s="6" t="s">
        <v>22</v>
      </c>
      <c r="D67" s="6" t="s">
        <v>23</v>
      </c>
      <c r="E67" s="6" t="s">
        <v>31</v>
      </c>
      <c r="F67" s="6" t="s">
        <v>31</v>
      </c>
      <c r="G67" s="6" t="s">
        <v>514</v>
      </c>
      <c r="H67" s="7"/>
      <c r="I67" s="8">
        <v>44895.880636574075</v>
      </c>
      <c r="J67" s="6" t="s">
        <v>515</v>
      </c>
      <c r="K67" s="12" t="s">
        <v>516</v>
      </c>
      <c r="L67" s="6" t="s">
        <v>42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" t="s">
        <v>519</v>
      </c>
      <c r="B68" s="7"/>
      <c r="C68" s="6" t="s">
        <v>22</v>
      </c>
      <c r="D68" s="6" t="s">
        <v>23</v>
      </c>
      <c r="E68" s="6" t="s">
        <v>31</v>
      </c>
      <c r="F68" s="6" t="s">
        <v>31</v>
      </c>
      <c r="G68" s="6" t="s">
        <v>523</v>
      </c>
      <c r="H68" s="7"/>
      <c r="I68" s="8">
        <v>44895.880636574075</v>
      </c>
      <c r="J68" s="6" t="s">
        <v>524</v>
      </c>
      <c r="K68" s="12" t="s">
        <v>525</v>
      </c>
      <c r="L68" s="6" t="s">
        <v>42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6" t="s">
        <v>527</v>
      </c>
      <c r="B69" s="7"/>
      <c r="C69" s="6" t="s">
        <v>22</v>
      </c>
      <c r="D69" s="6" t="s">
        <v>23</v>
      </c>
      <c r="E69" s="6" t="s">
        <v>31</v>
      </c>
      <c r="F69" s="6" t="s">
        <v>31</v>
      </c>
      <c r="G69" s="6" t="s">
        <v>531</v>
      </c>
      <c r="H69" s="7"/>
      <c r="I69" s="8">
        <v>44895.880636574075</v>
      </c>
      <c r="J69" s="6" t="s">
        <v>532</v>
      </c>
      <c r="K69" s="12" t="s">
        <v>533</v>
      </c>
      <c r="L69" s="6" t="s">
        <v>42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6" t="s">
        <v>535</v>
      </c>
      <c r="B70" s="7"/>
      <c r="C70" s="6" t="s">
        <v>22</v>
      </c>
      <c r="D70" s="6" t="s">
        <v>23</v>
      </c>
      <c r="E70" s="6" t="s">
        <v>31</v>
      </c>
      <c r="F70" s="6" t="s">
        <v>31</v>
      </c>
      <c r="G70" s="6" t="s">
        <v>536</v>
      </c>
      <c r="H70" s="7"/>
      <c r="I70" s="8">
        <v>44895.880636574075</v>
      </c>
      <c r="J70" s="6" t="s">
        <v>537</v>
      </c>
      <c r="K70" s="12" t="s">
        <v>539</v>
      </c>
      <c r="L70" s="6" t="s">
        <v>42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6" t="s">
        <v>544</v>
      </c>
      <c r="B71" s="7"/>
      <c r="C71" s="6" t="s">
        <v>22</v>
      </c>
      <c r="D71" s="6" t="s">
        <v>23</v>
      </c>
      <c r="E71" s="6" t="s">
        <v>31</v>
      </c>
      <c r="F71" s="6" t="s">
        <v>31</v>
      </c>
      <c r="G71" s="6" t="s">
        <v>545</v>
      </c>
      <c r="H71" s="7"/>
      <c r="I71" s="8">
        <v>44895.880636574075</v>
      </c>
      <c r="J71" s="6" t="s">
        <v>546</v>
      </c>
      <c r="K71" s="12" t="s">
        <v>547</v>
      </c>
      <c r="L71" s="6" t="s">
        <v>42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6" t="s">
        <v>552</v>
      </c>
      <c r="B72" s="7"/>
      <c r="C72" s="6" t="s">
        <v>22</v>
      </c>
      <c r="D72" s="6" t="s">
        <v>23</v>
      </c>
      <c r="E72" s="6" t="s">
        <v>31</v>
      </c>
      <c r="F72" s="6" t="s">
        <v>31</v>
      </c>
      <c r="G72" s="6" t="s">
        <v>553</v>
      </c>
      <c r="H72" s="7"/>
      <c r="I72" s="8">
        <v>44895.880636574075</v>
      </c>
      <c r="J72" s="6" t="s">
        <v>554</v>
      </c>
      <c r="K72" s="12" t="s">
        <v>555</v>
      </c>
      <c r="L72" s="6" t="s">
        <v>42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6" t="s">
        <v>557</v>
      </c>
      <c r="B73" s="7"/>
      <c r="C73" s="6" t="s">
        <v>22</v>
      </c>
      <c r="D73" s="6" t="s">
        <v>23</v>
      </c>
      <c r="E73" s="6" t="s">
        <v>31</v>
      </c>
      <c r="F73" s="6" t="s">
        <v>31</v>
      </c>
      <c r="G73" s="6" t="s">
        <v>558</v>
      </c>
      <c r="H73" s="7"/>
      <c r="I73" s="8">
        <v>44895.880636574075</v>
      </c>
      <c r="J73" s="6" t="s">
        <v>559</v>
      </c>
      <c r="K73" s="12" t="s">
        <v>560</v>
      </c>
      <c r="L73" s="6" t="s">
        <v>42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6" t="s">
        <v>562</v>
      </c>
      <c r="B74" s="7"/>
      <c r="C74" s="6" t="s">
        <v>22</v>
      </c>
      <c r="D74" s="6" t="s">
        <v>23</v>
      </c>
      <c r="E74" s="6" t="s">
        <v>31</v>
      </c>
      <c r="F74" s="6" t="s">
        <v>31</v>
      </c>
      <c r="G74" s="6" t="s">
        <v>563</v>
      </c>
      <c r="H74" s="7"/>
      <c r="I74" s="8">
        <v>44895.880636574075</v>
      </c>
      <c r="J74" s="6" t="s">
        <v>564</v>
      </c>
      <c r="K74" s="12" t="s">
        <v>565</v>
      </c>
      <c r="L74" s="6" t="s">
        <v>42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6" t="s">
        <v>567</v>
      </c>
      <c r="B75" s="7"/>
      <c r="C75" s="6" t="s">
        <v>22</v>
      </c>
      <c r="D75" s="6" t="s">
        <v>23</v>
      </c>
      <c r="E75" s="6" t="s">
        <v>31</v>
      </c>
      <c r="F75" s="6" t="s">
        <v>31</v>
      </c>
      <c r="G75" s="6" t="s">
        <v>568</v>
      </c>
      <c r="H75" s="7"/>
      <c r="I75" s="8">
        <v>44895.880636574075</v>
      </c>
      <c r="J75" s="6" t="s">
        <v>569</v>
      </c>
      <c r="K75" s="12" t="s">
        <v>570</v>
      </c>
      <c r="L75" s="6" t="s">
        <v>42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 t="s">
        <v>572</v>
      </c>
      <c r="B76" s="7"/>
      <c r="C76" s="6" t="s">
        <v>22</v>
      </c>
      <c r="D76" s="6" t="s">
        <v>23</v>
      </c>
      <c r="E76" s="6" t="s">
        <v>31</v>
      </c>
      <c r="F76" s="6" t="s">
        <v>31</v>
      </c>
      <c r="G76" s="6" t="s">
        <v>573</v>
      </c>
      <c r="H76" s="7"/>
      <c r="I76" s="8">
        <v>44895.880636574075</v>
      </c>
      <c r="J76" s="6" t="s">
        <v>574</v>
      </c>
      <c r="K76" s="12" t="s">
        <v>575</v>
      </c>
      <c r="L76" s="6" t="s">
        <v>42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6" t="s">
        <v>577</v>
      </c>
      <c r="B77" s="7"/>
      <c r="C77" s="6" t="s">
        <v>22</v>
      </c>
      <c r="D77" s="6" t="s">
        <v>23</v>
      </c>
      <c r="E77" s="6" t="s">
        <v>31</v>
      </c>
      <c r="F77" s="6" t="s">
        <v>31</v>
      </c>
      <c r="G77" s="6" t="s">
        <v>578</v>
      </c>
      <c r="H77" s="7"/>
      <c r="I77" s="8">
        <v>44895.880636574075</v>
      </c>
      <c r="J77" s="6" t="s">
        <v>579</v>
      </c>
      <c r="K77" s="12" t="s">
        <v>580</v>
      </c>
      <c r="L77" s="6" t="s">
        <v>42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 t="s">
        <v>582</v>
      </c>
      <c r="B78" s="7"/>
      <c r="C78" s="6" t="s">
        <v>22</v>
      </c>
      <c r="D78" s="6" t="s">
        <v>23</v>
      </c>
      <c r="E78" s="6" t="s">
        <v>31</v>
      </c>
      <c r="F78" s="6" t="s">
        <v>31</v>
      </c>
      <c r="G78" s="6" t="s">
        <v>584</v>
      </c>
      <c r="H78" s="7"/>
      <c r="I78" s="8">
        <v>44895.880636574075</v>
      </c>
      <c r="J78" s="6" t="s">
        <v>585</v>
      </c>
      <c r="K78" s="12" t="s">
        <v>586</v>
      </c>
      <c r="L78" s="6" t="s">
        <v>42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" t="s">
        <v>591</v>
      </c>
      <c r="B79" s="7"/>
      <c r="C79" s="6" t="s">
        <v>22</v>
      </c>
      <c r="D79" s="6" t="s">
        <v>23</v>
      </c>
      <c r="E79" s="6" t="s">
        <v>31</v>
      </c>
      <c r="F79" s="6" t="s">
        <v>31</v>
      </c>
      <c r="G79" s="6" t="s">
        <v>593</v>
      </c>
      <c r="H79" s="7"/>
      <c r="I79" s="8">
        <v>44895.880636574075</v>
      </c>
      <c r="J79" s="6" t="s">
        <v>596</v>
      </c>
      <c r="K79" s="12" t="s">
        <v>597</v>
      </c>
      <c r="L79" s="6" t="s">
        <v>42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 t="s">
        <v>599</v>
      </c>
      <c r="B80" s="7"/>
      <c r="C80" s="6" t="s">
        <v>22</v>
      </c>
      <c r="D80" s="6" t="s">
        <v>23</v>
      </c>
      <c r="E80" s="6" t="s">
        <v>31</v>
      </c>
      <c r="F80" s="6" t="s">
        <v>31</v>
      </c>
      <c r="G80" s="6" t="s">
        <v>602</v>
      </c>
      <c r="H80" s="7"/>
      <c r="I80" s="8">
        <v>44895.880636574075</v>
      </c>
      <c r="J80" s="6" t="s">
        <v>604</v>
      </c>
      <c r="K80" s="12" t="s">
        <v>605</v>
      </c>
      <c r="L80" s="6" t="s">
        <v>42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6" t="s">
        <v>606</v>
      </c>
      <c r="B81" s="7"/>
      <c r="C81" s="6" t="s">
        <v>22</v>
      </c>
      <c r="D81" s="6" t="s">
        <v>23</v>
      </c>
      <c r="E81" s="6" t="s">
        <v>31</v>
      </c>
      <c r="F81" s="6" t="s">
        <v>31</v>
      </c>
      <c r="G81" s="6" t="s">
        <v>607</v>
      </c>
      <c r="H81" s="7"/>
      <c r="I81" s="8">
        <v>44895.880636574075</v>
      </c>
      <c r="J81" s="6" t="s">
        <v>609</v>
      </c>
      <c r="K81" s="12" t="s">
        <v>610</v>
      </c>
      <c r="L81" s="6" t="s">
        <v>42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 t="s">
        <v>611</v>
      </c>
      <c r="B82" s="7"/>
      <c r="C82" s="6" t="s">
        <v>22</v>
      </c>
      <c r="D82" s="6" t="s">
        <v>23</v>
      </c>
      <c r="E82" s="6" t="s">
        <v>31</v>
      </c>
      <c r="F82" s="6" t="s">
        <v>31</v>
      </c>
      <c r="G82" s="6" t="s">
        <v>613</v>
      </c>
      <c r="H82" s="7"/>
      <c r="I82" s="8">
        <v>44895.880636574075</v>
      </c>
      <c r="J82" s="6" t="s">
        <v>614</v>
      </c>
      <c r="K82" s="12" t="s">
        <v>615</v>
      </c>
      <c r="L82" s="6" t="s">
        <v>42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6" t="s">
        <v>616</v>
      </c>
      <c r="B83" s="7"/>
      <c r="C83" s="6" t="s">
        <v>22</v>
      </c>
      <c r="D83" s="6" t="s">
        <v>23</v>
      </c>
      <c r="E83" s="6" t="s">
        <v>31</v>
      </c>
      <c r="F83" s="6" t="s">
        <v>31</v>
      </c>
      <c r="G83" s="6" t="s">
        <v>618</v>
      </c>
      <c r="H83" s="7"/>
      <c r="I83" s="8">
        <v>44895.880636574075</v>
      </c>
      <c r="J83" s="6" t="s">
        <v>620</v>
      </c>
      <c r="K83" s="12" t="s">
        <v>622</v>
      </c>
      <c r="L83" s="6" t="s">
        <v>42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 t="s">
        <v>624</v>
      </c>
      <c r="B84" s="7"/>
      <c r="C84" s="6" t="s">
        <v>22</v>
      </c>
      <c r="D84" s="6" t="s">
        <v>23</v>
      </c>
      <c r="E84" s="6" t="s">
        <v>31</v>
      </c>
      <c r="F84" s="6" t="s">
        <v>31</v>
      </c>
      <c r="G84" s="6" t="s">
        <v>626</v>
      </c>
      <c r="H84" s="7"/>
      <c r="I84" s="8">
        <v>44895.880636574075</v>
      </c>
      <c r="J84" s="6" t="s">
        <v>627</v>
      </c>
      <c r="K84" s="12" t="s">
        <v>628</v>
      </c>
      <c r="L84" s="6" t="s">
        <v>42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" t="s">
        <v>632</v>
      </c>
      <c r="B85" s="7"/>
      <c r="C85" s="6" t="s">
        <v>22</v>
      </c>
      <c r="D85" s="6" t="s">
        <v>23</v>
      </c>
      <c r="E85" s="6" t="s">
        <v>31</v>
      </c>
      <c r="F85" s="6" t="s">
        <v>31</v>
      </c>
      <c r="G85" s="6" t="s">
        <v>633</v>
      </c>
      <c r="H85" s="7"/>
      <c r="I85" s="8">
        <v>44895.880636574075</v>
      </c>
      <c r="J85" s="6" t="s">
        <v>634</v>
      </c>
      <c r="K85" s="12" t="s">
        <v>635</v>
      </c>
      <c r="L85" s="6" t="s">
        <v>42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 t="s">
        <v>637</v>
      </c>
      <c r="B86" s="7"/>
      <c r="C86" s="6" t="s">
        <v>22</v>
      </c>
      <c r="D86" s="6" t="s">
        <v>23</v>
      </c>
      <c r="E86" s="6" t="s">
        <v>31</v>
      </c>
      <c r="F86" s="6" t="s">
        <v>31</v>
      </c>
      <c r="G86" s="6" t="s">
        <v>638</v>
      </c>
      <c r="H86" s="7"/>
      <c r="I86" s="8">
        <v>44895.880636574075</v>
      </c>
      <c r="J86" s="6" t="s">
        <v>639</v>
      </c>
      <c r="K86" s="12" t="s">
        <v>640</v>
      </c>
      <c r="L86" s="6" t="s">
        <v>42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" t="s">
        <v>642</v>
      </c>
      <c r="B87" s="7"/>
      <c r="C87" s="6" t="s">
        <v>22</v>
      </c>
      <c r="D87" s="6" t="s">
        <v>23</v>
      </c>
      <c r="E87" s="6" t="s">
        <v>31</v>
      </c>
      <c r="F87" s="6" t="s">
        <v>31</v>
      </c>
      <c r="G87" s="6" t="s">
        <v>643</v>
      </c>
      <c r="H87" s="7"/>
      <c r="I87" s="8">
        <v>44895.880636574075</v>
      </c>
      <c r="J87" s="6" t="s">
        <v>644</v>
      </c>
      <c r="K87" s="12" t="s">
        <v>645</v>
      </c>
      <c r="L87" s="6" t="s">
        <v>42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 t="s">
        <v>647</v>
      </c>
      <c r="B88" s="7"/>
      <c r="C88" s="6" t="s">
        <v>22</v>
      </c>
      <c r="D88" s="6" t="s">
        <v>23</v>
      </c>
      <c r="E88" s="6" t="s">
        <v>31</v>
      </c>
      <c r="F88" s="6" t="s">
        <v>31</v>
      </c>
      <c r="G88" s="6" t="s">
        <v>648</v>
      </c>
      <c r="H88" s="7"/>
      <c r="I88" s="8">
        <v>44895.880636574075</v>
      </c>
      <c r="J88" s="6" t="s">
        <v>649</v>
      </c>
      <c r="K88" s="12" t="s">
        <v>650</v>
      </c>
      <c r="L88" s="6" t="s">
        <v>42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" t="s">
        <v>655</v>
      </c>
      <c r="B89" s="7"/>
      <c r="C89" s="6" t="s">
        <v>22</v>
      </c>
      <c r="D89" s="6" t="s">
        <v>23</v>
      </c>
      <c r="E89" s="6" t="s">
        <v>31</v>
      </c>
      <c r="F89" s="6" t="s">
        <v>31</v>
      </c>
      <c r="G89" s="6" t="s">
        <v>656</v>
      </c>
      <c r="H89" s="7"/>
      <c r="I89" s="8">
        <v>44895.880636574075</v>
      </c>
      <c r="J89" s="6" t="s">
        <v>657</v>
      </c>
      <c r="K89" s="12" t="s">
        <v>658</v>
      </c>
      <c r="L89" s="6" t="s">
        <v>42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 t="s">
        <v>660</v>
      </c>
      <c r="B90" s="7"/>
      <c r="C90" s="6" t="s">
        <v>22</v>
      </c>
      <c r="D90" s="6" t="s">
        <v>23</v>
      </c>
      <c r="E90" s="6" t="s">
        <v>31</v>
      </c>
      <c r="F90" s="6" t="s">
        <v>31</v>
      </c>
      <c r="G90" s="6" t="s">
        <v>661</v>
      </c>
      <c r="H90" s="7"/>
      <c r="I90" s="8">
        <v>44895.880636574075</v>
      </c>
      <c r="J90" s="6" t="s">
        <v>662</v>
      </c>
      <c r="K90" s="12" t="s">
        <v>663</v>
      </c>
      <c r="L90" s="6" t="s">
        <v>42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" t="s">
        <v>665</v>
      </c>
      <c r="B91" s="7"/>
      <c r="C91" s="6" t="s">
        <v>22</v>
      </c>
      <c r="D91" s="6" t="s">
        <v>23</v>
      </c>
      <c r="E91" s="6" t="s">
        <v>31</v>
      </c>
      <c r="F91" s="6" t="s">
        <v>31</v>
      </c>
      <c r="G91" s="6" t="s">
        <v>666</v>
      </c>
      <c r="H91" s="7"/>
      <c r="I91" s="8">
        <v>44895.880636574075</v>
      </c>
      <c r="J91" s="6" t="s">
        <v>667</v>
      </c>
      <c r="K91" s="12" t="s">
        <v>668</v>
      </c>
      <c r="L91" s="6" t="s">
        <v>42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 t="s">
        <v>673</v>
      </c>
      <c r="B92" s="7"/>
      <c r="C92" s="6" t="s">
        <v>22</v>
      </c>
      <c r="D92" s="6" t="s">
        <v>23</v>
      </c>
      <c r="E92" s="6" t="s">
        <v>31</v>
      </c>
      <c r="F92" s="6" t="s">
        <v>31</v>
      </c>
      <c r="G92" s="6" t="s">
        <v>674</v>
      </c>
      <c r="H92" s="7"/>
      <c r="I92" s="8">
        <v>44895.880636574075</v>
      </c>
      <c r="J92" s="6" t="s">
        <v>675</v>
      </c>
      <c r="K92" s="12" t="s">
        <v>676</v>
      </c>
      <c r="L92" s="6" t="s">
        <v>42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" t="s">
        <v>681</v>
      </c>
      <c r="B93" s="7"/>
      <c r="C93" s="6" t="s">
        <v>22</v>
      </c>
      <c r="D93" s="6" t="s">
        <v>23</v>
      </c>
      <c r="E93" s="6" t="s">
        <v>31</v>
      </c>
      <c r="F93" s="6" t="s">
        <v>31</v>
      </c>
      <c r="G93" s="6" t="s">
        <v>682</v>
      </c>
      <c r="H93" s="7"/>
      <c r="I93" s="8">
        <v>44895.880636574075</v>
      </c>
      <c r="J93" s="6" t="s">
        <v>683</v>
      </c>
      <c r="K93" s="12" t="s">
        <v>684</v>
      </c>
      <c r="L93" s="6" t="s">
        <v>42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 t="s">
        <v>689</v>
      </c>
      <c r="B94" s="7"/>
      <c r="C94" s="6" t="s">
        <v>22</v>
      </c>
      <c r="D94" s="6" t="s">
        <v>23</v>
      </c>
      <c r="E94" s="6" t="s">
        <v>31</v>
      </c>
      <c r="F94" s="6" t="s">
        <v>31</v>
      </c>
      <c r="G94" s="6" t="s">
        <v>690</v>
      </c>
      <c r="H94" s="7"/>
      <c r="I94" s="8">
        <v>44895.880636574075</v>
      </c>
      <c r="J94" s="6" t="s">
        <v>691</v>
      </c>
      <c r="K94" s="12" t="s">
        <v>692</v>
      </c>
      <c r="L94" s="6" t="s">
        <v>42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" t="s">
        <v>694</v>
      </c>
      <c r="B95" s="7"/>
      <c r="C95" s="6" t="s">
        <v>22</v>
      </c>
      <c r="D95" s="6" t="s">
        <v>23</v>
      </c>
      <c r="E95" s="6" t="s">
        <v>31</v>
      </c>
      <c r="F95" s="6" t="s">
        <v>31</v>
      </c>
      <c r="G95" s="6" t="s">
        <v>695</v>
      </c>
      <c r="H95" s="7"/>
      <c r="I95" s="8">
        <v>44895.880636574075</v>
      </c>
      <c r="J95" s="6" t="s">
        <v>696</v>
      </c>
      <c r="K95" s="12" t="s">
        <v>697</v>
      </c>
      <c r="L95" s="6" t="s">
        <v>42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 t="s">
        <v>699</v>
      </c>
      <c r="B96" s="7"/>
      <c r="C96" s="6" t="s">
        <v>22</v>
      </c>
      <c r="D96" s="6" t="s">
        <v>23</v>
      </c>
      <c r="E96" s="6" t="s">
        <v>31</v>
      </c>
      <c r="F96" s="6" t="s">
        <v>31</v>
      </c>
      <c r="G96" s="6" t="s">
        <v>700</v>
      </c>
      <c r="H96" s="7"/>
      <c r="I96" s="8">
        <v>44895.880636574075</v>
      </c>
      <c r="J96" s="6" t="s">
        <v>701</v>
      </c>
      <c r="K96" s="12" t="s">
        <v>702</v>
      </c>
      <c r="L96" s="6" t="s">
        <v>42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" t="s">
        <v>704</v>
      </c>
      <c r="B97" s="7"/>
      <c r="C97" s="6" t="s">
        <v>22</v>
      </c>
      <c r="D97" s="6" t="s">
        <v>23</v>
      </c>
      <c r="E97" s="6" t="s">
        <v>31</v>
      </c>
      <c r="F97" s="6" t="s">
        <v>31</v>
      </c>
      <c r="G97" s="6" t="s">
        <v>705</v>
      </c>
      <c r="H97" s="7"/>
      <c r="I97" s="8">
        <v>44895.880636574075</v>
      </c>
      <c r="J97" s="6" t="s">
        <v>706</v>
      </c>
      <c r="K97" s="12" t="s">
        <v>707</v>
      </c>
      <c r="L97" s="6" t="s">
        <v>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 t="s">
        <v>709</v>
      </c>
      <c r="B98" s="7"/>
      <c r="C98" s="6" t="s">
        <v>22</v>
      </c>
      <c r="D98" s="6" t="s">
        <v>23</v>
      </c>
      <c r="E98" s="6" t="s">
        <v>31</v>
      </c>
      <c r="F98" s="6" t="s">
        <v>31</v>
      </c>
      <c r="G98" s="6" t="s">
        <v>710</v>
      </c>
      <c r="H98" s="7"/>
      <c r="I98" s="8">
        <v>44895.880636574075</v>
      </c>
      <c r="J98" s="6" t="s">
        <v>711</v>
      </c>
      <c r="K98" s="12" t="s">
        <v>712</v>
      </c>
      <c r="L98" s="6" t="s">
        <v>42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" t="s">
        <v>548</v>
      </c>
      <c r="B99" s="7"/>
      <c r="C99" s="6" t="s">
        <v>22</v>
      </c>
      <c r="D99" s="6" t="s">
        <v>23</v>
      </c>
      <c r="E99" s="6" t="s">
        <v>31</v>
      </c>
      <c r="F99" s="6" t="s">
        <v>31</v>
      </c>
      <c r="G99" s="6" t="s">
        <v>550</v>
      </c>
      <c r="H99" s="7"/>
      <c r="I99" s="8">
        <v>44895.880636574075</v>
      </c>
      <c r="J99" s="6" t="s">
        <v>549</v>
      </c>
      <c r="K99" s="12" t="s">
        <v>714</v>
      </c>
      <c r="L99" s="6" t="s">
        <v>42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 t="s">
        <v>716</v>
      </c>
      <c r="B100" s="7"/>
      <c r="C100" s="6" t="s">
        <v>22</v>
      </c>
      <c r="D100" s="6" t="s">
        <v>23</v>
      </c>
      <c r="E100" s="6" t="s">
        <v>31</v>
      </c>
      <c r="F100" s="6" t="s">
        <v>31</v>
      </c>
      <c r="G100" s="6" t="s">
        <v>717</v>
      </c>
      <c r="H100" s="7"/>
      <c r="I100" s="8">
        <v>44895.880636574075</v>
      </c>
      <c r="J100" s="6" t="s">
        <v>718</v>
      </c>
      <c r="K100" s="12" t="s">
        <v>719</v>
      </c>
      <c r="L100" s="6" t="s">
        <v>42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" t="s">
        <v>721</v>
      </c>
      <c r="B101" s="7"/>
      <c r="C101" s="6" t="s">
        <v>22</v>
      </c>
      <c r="D101" s="6" t="s">
        <v>23</v>
      </c>
      <c r="E101" s="6" t="s">
        <v>31</v>
      </c>
      <c r="F101" s="6" t="s">
        <v>31</v>
      </c>
      <c r="G101" s="6" t="s">
        <v>722</v>
      </c>
      <c r="H101" s="7"/>
      <c r="I101" s="8">
        <v>44895.880636574075</v>
      </c>
      <c r="J101" s="6" t="s">
        <v>723</v>
      </c>
      <c r="K101" s="12" t="s">
        <v>724</v>
      </c>
      <c r="L101" s="6" t="s">
        <v>42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 t="s">
        <v>186</v>
      </c>
      <c r="B102" s="7"/>
      <c r="C102" s="6" t="s">
        <v>22</v>
      </c>
      <c r="D102" s="6" t="s">
        <v>23</v>
      </c>
      <c r="E102" s="6" t="s">
        <v>31</v>
      </c>
      <c r="F102" s="6" t="s">
        <v>31</v>
      </c>
      <c r="G102" s="6" t="s">
        <v>189</v>
      </c>
      <c r="H102" s="7"/>
      <c r="I102" s="8">
        <v>44895.880636574075</v>
      </c>
      <c r="J102" s="6" t="s">
        <v>188</v>
      </c>
      <c r="K102" s="12" t="s">
        <v>726</v>
      </c>
      <c r="L102" s="6" t="s">
        <v>42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" t="s">
        <v>206</v>
      </c>
      <c r="B103" s="7"/>
      <c r="C103" s="6" t="s">
        <v>22</v>
      </c>
      <c r="D103" s="6" t="s">
        <v>23</v>
      </c>
      <c r="E103" s="6" t="s">
        <v>31</v>
      </c>
      <c r="F103" s="6" t="s">
        <v>31</v>
      </c>
      <c r="G103" s="6" t="s">
        <v>210</v>
      </c>
      <c r="H103" s="7"/>
      <c r="I103" s="8">
        <v>44895.880636574075</v>
      </c>
      <c r="J103" s="6" t="s">
        <v>209</v>
      </c>
      <c r="K103" s="12" t="s">
        <v>731</v>
      </c>
      <c r="L103" s="6" t="s">
        <v>42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 t="s">
        <v>329</v>
      </c>
      <c r="B104" s="7"/>
      <c r="C104" s="6" t="s">
        <v>22</v>
      </c>
      <c r="D104" s="6" t="s">
        <v>23</v>
      </c>
      <c r="E104" s="6" t="s">
        <v>31</v>
      </c>
      <c r="F104" s="6" t="s">
        <v>31</v>
      </c>
      <c r="G104" s="6" t="s">
        <v>332</v>
      </c>
      <c r="H104" s="7"/>
      <c r="I104" s="8">
        <v>44895.880636574075</v>
      </c>
      <c r="J104" s="6" t="s">
        <v>331</v>
      </c>
      <c r="K104" s="12" t="s">
        <v>737</v>
      </c>
      <c r="L104" s="6" t="s">
        <v>42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 t="s">
        <v>358</v>
      </c>
      <c r="B105" s="7"/>
      <c r="C105" s="6" t="s">
        <v>22</v>
      </c>
      <c r="D105" s="6" t="s">
        <v>23</v>
      </c>
      <c r="E105" s="6" t="s">
        <v>31</v>
      </c>
      <c r="F105" s="6" t="s">
        <v>31</v>
      </c>
      <c r="G105" s="6" t="s">
        <v>360</v>
      </c>
      <c r="H105" s="7"/>
      <c r="I105" s="8">
        <v>44895.880636574075</v>
      </c>
      <c r="J105" s="6" t="s">
        <v>359</v>
      </c>
      <c r="K105" s="12" t="s">
        <v>740</v>
      </c>
      <c r="L105" s="6" t="s">
        <v>42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 t="s">
        <v>265</v>
      </c>
      <c r="B106" s="7"/>
      <c r="C106" s="6" t="s">
        <v>22</v>
      </c>
      <c r="D106" s="6" t="s">
        <v>23</v>
      </c>
      <c r="E106" s="6" t="s">
        <v>31</v>
      </c>
      <c r="F106" s="6" t="s">
        <v>31</v>
      </c>
      <c r="G106" s="6" t="s">
        <v>267</v>
      </c>
      <c r="H106" s="7"/>
      <c r="I106" s="8">
        <v>44895.880636574075</v>
      </c>
      <c r="J106" s="6" t="s">
        <v>266</v>
      </c>
      <c r="K106" s="12" t="s">
        <v>742</v>
      </c>
      <c r="L106" s="6" t="s">
        <v>42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" t="s">
        <v>249</v>
      </c>
      <c r="B107" s="7"/>
      <c r="C107" s="6" t="s">
        <v>22</v>
      </c>
      <c r="D107" s="6" t="s">
        <v>23</v>
      </c>
      <c r="E107" s="6" t="s">
        <v>31</v>
      </c>
      <c r="F107" s="6" t="s">
        <v>31</v>
      </c>
      <c r="G107" s="6" t="s">
        <v>251</v>
      </c>
      <c r="H107" s="7"/>
      <c r="I107" s="8">
        <v>44895.880636574075</v>
      </c>
      <c r="J107" s="6" t="s">
        <v>250</v>
      </c>
      <c r="K107" s="12" t="s">
        <v>744</v>
      </c>
      <c r="L107" s="6" t="s">
        <v>42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 t="s">
        <v>526</v>
      </c>
      <c r="B108" s="7"/>
      <c r="C108" s="6" t="s">
        <v>22</v>
      </c>
      <c r="D108" s="6" t="s">
        <v>23</v>
      </c>
      <c r="E108" s="6" t="s">
        <v>31</v>
      </c>
      <c r="F108" s="6" t="s">
        <v>31</v>
      </c>
      <c r="G108" s="6" t="s">
        <v>529</v>
      </c>
      <c r="H108" s="7"/>
      <c r="I108" s="8">
        <v>44895.880636574075</v>
      </c>
      <c r="J108" s="6" t="s">
        <v>528</v>
      </c>
      <c r="K108" s="12" t="s">
        <v>746</v>
      </c>
      <c r="L108" s="6" t="s">
        <v>42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6" t="s">
        <v>443</v>
      </c>
      <c r="B109" s="7"/>
      <c r="C109" s="6" t="s">
        <v>22</v>
      </c>
      <c r="D109" s="6" t="s">
        <v>23</v>
      </c>
      <c r="E109" s="6" t="s">
        <v>31</v>
      </c>
      <c r="F109" s="6" t="s">
        <v>31</v>
      </c>
      <c r="G109" s="6" t="s">
        <v>445</v>
      </c>
      <c r="H109" s="7"/>
      <c r="I109" s="8">
        <v>44895.880636574075</v>
      </c>
      <c r="J109" s="6" t="s">
        <v>444</v>
      </c>
      <c r="K109" s="12" t="s">
        <v>752</v>
      </c>
      <c r="L109" s="6" t="s">
        <v>42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 t="s">
        <v>451</v>
      </c>
      <c r="B110" s="7"/>
      <c r="C110" s="6" t="s">
        <v>22</v>
      </c>
      <c r="D110" s="6" t="s">
        <v>23</v>
      </c>
      <c r="E110" s="6" t="s">
        <v>31</v>
      </c>
      <c r="F110" s="6" t="s">
        <v>31</v>
      </c>
      <c r="G110" s="6" t="s">
        <v>453</v>
      </c>
      <c r="H110" s="7"/>
      <c r="I110" s="8">
        <v>44895.880636574075</v>
      </c>
      <c r="J110" s="6" t="s">
        <v>452</v>
      </c>
      <c r="K110" s="12" t="s">
        <v>754</v>
      </c>
      <c r="L110" s="6" t="s">
        <v>42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6" t="s">
        <v>759</v>
      </c>
      <c r="B111" s="7"/>
      <c r="C111" s="6" t="s">
        <v>22</v>
      </c>
      <c r="D111" s="6" t="s">
        <v>23</v>
      </c>
      <c r="E111" s="6" t="s">
        <v>31</v>
      </c>
      <c r="F111" s="6" t="s">
        <v>31</v>
      </c>
      <c r="G111" s="6" t="s">
        <v>760</v>
      </c>
      <c r="H111" s="7"/>
      <c r="I111" s="8">
        <v>44895.880636574075</v>
      </c>
      <c r="J111" s="6" t="s">
        <v>761</v>
      </c>
      <c r="K111" s="12" t="s">
        <v>762</v>
      </c>
      <c r="L111" s="6" t="s">
        <v>42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 t="s">
        <v>459</v>
      </c>
      <c r="B112" s="7"/>
      <c r="C112" s="6" t="s">
        <v>22</v>
      </c>
      <c r="D112" s="6" t="s">
        <v>23</v>
      </c>
      <c r="E112" s="6" t="s">
        <v>31</v>
      </c>
      <c r="F112" s="6" t="s">
        <v>31</v>
      </c>
      <c r="G112" s="6" t="s">
        <v>461</v>
      </c>
      <c r="H112" s="7"/>
      <c r="I112" s="8">
        <v>44895.880636574075</v>
      </c>
      <c r="J112" s="6" t="s">
        <v>460</v>
      </c>
      <c r="K112" s="12" t="s">
        <v>764</v>
      </c>
      <c r="L112" s="6" t="s">
        <v>42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" t="s">
        <v>518</v>
      </c>
      <c r="B113" s="7"/>
      <c r="C113" s="6" t="s">
        <v>22</v>
      </c>
      <c r="D113" s="6" t="s">
        <v>23</v>
      </c>
      <c r="E113" s="6" t="s">
        <v>31</v>
      </c>
      <c r="F113" s="6" t="s">
        <v>31</v>
      </c>
      <c r="G113" s="6" t="s">
        <v>521</v>
      </c>
      <c r="H113" s="7"/>
      <c r="I113" s="8">
        <v>44895.880636574075</v>
      </c>
      <c r="J113" s="6" t="s">
        <v>520</v>
      </c>
      <c r="K113" s="12" t="s">
        <v>767</v>
      </c>
      <c r="L113" s="6" t="s">
        <v>42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 t="s">
        <v>116</v>
      </c>
      <c r="B114" s="7"/>
      <c r="C114" s="6" t="s">
        <v>22</v>
      </c>
      <c r="D114" s="6" t="s">
        <v>23</v>
      </c>
      <c r="E114" s="6" t="s">
        <v>31</v>
      </c>
      <c r="F114" s="6" t="s">
        <v>31</v>
      </c>
      <c r="G114" s="6" t="s">
        <v>119</v>
      </c>
      <c r="H114" s="7"/>
      <c r="I114" s="8">
        <v>44895.880636574075</v>
      </c>
      <c r="J114" s="6" t="s">
        <v>118</v>
      </c>
      <c r="K114" s="12" t="s">
        <v>772</v>
      </c>
      <c r="L114" s="6" t="s">
        <v>42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" t="s">
        <v>493</v>
      </c>
      <c r="B115" s="7"/>
      <c r="C115" s="6" t="s">
        <v>22</v>
      </c>
      <c r="D115" s="6" t="s">
        <v>23</v>
      </c>
      <c r="E115" s="6" t="s">
        <v>31</v>
      </c>
      <c r="F115" s="6" t="s">
        <v>31</v>
      </c>
      <c r="G115" s="6" t="s">
        <v>495</v>
      </c>
      <c r="H115" s="7"/>
      <c r="I115" s="8">
        <v>44895.880636574075</v>
      </c>
      <c r="J115" s="6" t="s">
        <v>494</v>
      </c>
      <c r="K115" s="12" t="s">
        <v>777</v>
      </c>
      <c r="L115" s="6" t="s">
        <v>42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 t="s">
        <v>241</v>
      </c>
      <c r="B116" s="7"/>
      <c r="C116" s="6" t="s">
        <v>22</v>
      </c>
      <c r="D116" s="6" t="s">
        <v>23</v>
      </c>
      <c r="E116" s="6" t="s">
        <v>31</v>
      </c>
      <c r="F116" s="6" t="s">
        <v>31</v>
      </c>
      <c r="G116" s="6" t="s">
        <v>243</v>
      </c>
      <c r="H116" s="7"/>
      <c r="I116" s="8">
        <v>44895.880636574075</v>
      </c>
      <c r="J116" s="6" t="s">
        <v>242</v>
      </c>
      <c r="K116" s="12" t="s">
        <v>783</v>
      </c>
      <c r="L116" s="6" t="s">
        <v>42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6" t="s">
        <v>273</v>
      </c>
      <c r="B117" s="7"/>
      <c r="C117" s="6" t="s">
        <v>22</v>
      </c>
      <c r="D117" s="6" t="s">
        <v>23</v>
      </c>
      <c r="E117" s="6" t="s">
        <v>31</v>
      </c>
      <c r="F117" s="6" t="s">
        <v>31</v>
      </c>
      <c r="G117" s="6" t="s">
        <v>275</v>
      </c>
      <c r="H117" s="7"/>
      <c r="I117" s="8">
        <v>44895.880636574075</v>
      </c>
      <c r="J117" s="6" t="s">
        <v>274</v>
      </c>
      <c r="K117" s="12" t="s">
        <v>789</v>
      </c>
      <c r="L117" s="6" t="s">
        <v>42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 t="s">
        <v>177</v>
      </c>
      <c r="B118" s="7"/>
      <c r="C118" s="6" t="s">
        <v>22</v>
      </c>
      <c r="D118" s="6" t="s">
        <v>23</v>
      </c>
      <c r="E118" s="6" t="s">
        <v>31</v>
      </c>
      <c r="F118" s="6" t="s">
        <v>31</v>
      </c>
      <c r="G118" s="6" t="s">
        <v>179</v>
      </c>
      <c r="H118" s="7"/>
      <c r="I118" s="8">
        <v>44895.880636574075</v>
      </c>
      <c r="J118" s="6" t="s">
        <v>178</v>
      </c>
      <c r="K118" s="12" t="s">
        <v>791</v>
      </c>
      <c r="L118" s="6" t="s">
        <v>42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6" t="s">
        <v>257</v>
      </c>
      <c r="B119" s="7"/>
      <c r="C119" s="6" t="s">
        <v>22</v>
      </c>
      <c r="D119" s="6" t="s">
        <v>23</v>
      </c>
      <c r="E119" s="6" t="s">
        <v>31</v>
      </c>
      <c r="F119" s="6" t="s">
        <v>31</v>
      </c>
      <c r="G119" s="6" t="s">
        <v>259</v>
      </c>
      <c r="H119" s="7"/>
      <c r="I119" s="8">
        <v>44895.880636574075</v>
      </c>
      <c r="J119" s="6" t="s">
        <v>258</v>
      </c>
      <c r="K119" s="12" t="s">
        <v>796</v>
      </c>
      <c r="L119" s="6" t="s">
        <v>42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 t="s">
        <v>169</v>
      </c>
      <c r="B120" s="7"/>
      <c r="C120" s="6" t="s">
        <v>22</v>
      </c>
      <c r="D120" s="6" t="s">
        <v>23</v>
      </c>
      <c r="E120" s="6" t="s">
        <v>31</v>
      </c>
      <c r="F120" s="6" t="s">
        <v>31</v>
      </c>
      <c r="G120" s="6" t="s">
        <v>171</v>
      </c>
      <c r="H120" s="7"/>
      <c r="I120" s="8">
        <v>44895.880636574075</v>
      </c>
      <c r="J120" s="6" t="s">
        <v>801</v>
      </c>
      <c r="K120" s="12" t="s">
        <v>802</v>
      </c>
      <c r="L120" s="6" t="s">
        <v>42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" t="s">
        <v>306</v>
      </c>
      <c r="B121" s="7"/>
      <c r="C121" s="6" t="s">
        <v>22</v>
      </c>
      <c r="D121" s="6" t="s">
        <v>23</v>
      </c>
      <c r="E121" s="6" t="s">
        <v>31</v>
      </c>
      <c r="F121" s="6" t="s">
        <v>31</v>
      </c>
      <c r="G121" s="6" t="s">
        <v>309</v>
      </c>
      <c r="H121" s="7"/>
      <c r="I121" s="8">
        <v>44895.880636574075</v>
      </c>
      <c r="J121" s="6" t="s">
        <v>308</v>
      </c>
      <c r="K121" s="12" t="s">
        <v>807</v>
      </c>
      <c r="L121" s="6" t="s">
        <v>42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 t="s">
        <v>213</v>
      </c>
      <c r="B122" s="7"/>
      <c r="C122" s="6" t="s">
        <v>22</v>
      </c>
      <c r="D122" s="6" t="s">
        <v>23</v>
      </c>
      <c r="E122" s="6" t="s">
        <v>31</v>
      </c>
      <c r="F122" s="6" t="s">
        <v>31</v>
      </c>
      <c r="G122" s="6" t="s">
        <v>218</v>
      </c>
      <c r="H122" s="7"/>
      <c r="I122" s="8">
        <v>44895.880636574075</v>
      </c>
      <c r="J122" s="6" t="s">
        <v>217</v>
      </c>
      <c r="K122" s="12" t="s">
        <v>812</v>
      </c>
      <c r="L122" s="6" t="s">
        <v>42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6" t="s">
        <v>499</v>
      </c>
      <c r="B123" s="7"/>
      <c r="C123" s="6" t="s">
        <v>22</v>
      </c>
      <c r="D123" s="6" t="s">
        <v>23</v>
      </c>
      <c r="E123" s="6" t="s">
        <v>31</v>
      </c>
      <c r="F123" s="6" t="s">
        <v>31</v>
      </c>
      <c r="G123" s="6" t="s">
        <v>503</v>
      </c>
      <c r="H123" s="7"/>
      <c r="I123" s="8">
        <v>44895.880636574075</v>
      </c>
      <c r="J123" s="6" t="s">
        <v>502</v>
      </c>
      <c r="K123" s="12" t="s">
        <v>817</v>
      </c>
      <c r="L123" s="6" t="s">
        <v>42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 t="s">
        <v>302</v>
      </c>
      <c r="B124" s="7"/>
      <c r="C124" s="6" t="s">
        <v>22</v>
      </c>
      <c r="D124" s="6" t="s">
        <v>23</v>
      </c>
      <c r="E124" s="6" t="s">
        <v>31</v>
      </c>
      <c r="F124" s="6" t="s">
        <v>31</v>
      </c>
      <c r="G124" s="6" t="s">
        <v>304</v>
      </c>
      <c r="H124" s="7"/>
      <c r="I124" s="8">
        <v>44895.880636574075</v>
      </c>
      <c r="J124" s="6" t="s">
        <v>303</v>
      </c>
      <c r="K124" s="12" t="s">
        <v>822</v>
      </c>
      <c r="L124" s="6" t="s">
        <v>42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6" t="s">
        <v>294</v>
      </c>
      <c r="B125" s="7"/>
      <c r="C125" s="6" t="s">
        <v>22</v>
      </c>
      <c r="D125" s="6" t="s">
        <v>23</v>
      </c>
      <c r="E125" s="6" t="s">
        <v>31</v>
      </c>
      <c r="F125" s="6" t="s">
        <v>31</v>
      </c>
      <c r="G125" s="6" t="s">
        <v>296</v>
      </c>
      <c r="H125" s="7"/>
      <c r="I125" s="8">
        <v>44895.880636574075</v>
      </c>
      <c r="J125" s="6" t="s">
        <v>295</v>
      </c>
      <c r="K125" s="12" t="s">
        <v>828</v>
      </c>
      <c r="L125" s="6" t="s">
        <v>42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 t="s">
        <v>289</v>
      </c>
      <c r="B126" s="7"/>
      <c r="C126" s="6" t="s">
        <v>22</v>
      </c>
      <c r="D126" s="6" t="s">
        <v>23</v>
      </c>
      <c r="E126" s="6" t="s">
        <v>31</v>
      </c>
      <c r="F126" s="6" t="s">
        <v>31</v>
      </c>
      <c r="G126" s="6" t="s">
        <v>291</v>
      </c>
      <c r="H126" s="7"/>
      <c r="I126" s="8">
        <v>44895.880636574075</v>
      </c>
      <c r="J126" s="6" t="s">
        <v>290</v>
      </c>
      <c r="K126" s="12" t="s">
        <v>833</v>
      </c>
      <c r="L126" s="6" t="s">
        <v>42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6" t="s">
        <v>540</v>
      </c>
      <c r="B127" s="7"/>
      <c r="C127" s="6" t="s">
        <v>22</v>
      </c>
      <c r="D127" s="6" t="s">
        <v>23</v>
      </c>
      <c r="E127" s="6" t="s">
        <v>31</v>
      </c>
      <c r="F127" s="6" t="s">
        <v>31</v>
      </c>
      <c r="G127" s="6" t="s">
        <v>542</v>
      </c>
      <c r="H127" s="7"/>
      <c r="I127" s="8">
        <v>44895.880636574075</v>
      </c>
      <c r="J127" s="6" t="s">
        <v>541</v>
      </c>
      <c r="K127" s="12" t="s">
        <v>839</v>
      </c>
      <c r="L127" s="6" t="s">
        <v>42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 t="s">
        <v>583</v>
      </c>
      <c r="B128" s="7"/>
      <c r="C128" s="6" t="s">
        <v>22</v>
      </c>
      <c r="D128" s="6" t="s">
        <v>23</v>
      </c>
      <c r="E128" s="6" t="s">
        <v>31</v>
      </c>
      <c r="F128" s="6" t="s">
        <v>31</v>
      </c>
      <c r="G128" s="6" t="s">
        <v>588</v>
      </c>
      <c r="H128" s="7"/>
      <c r="I128" s="8">
        <v>44895.880636574075</v>
      </c>
      <c r="J128" s="6" t="s">
        <v>587</v>
      </c>
      <c r="K128" s="12" t="s">
        <v>844</v>
      </c>
      <c r="L128" s="6" t="s">
        <v>42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 t="s">
        <v>228</v>
      </c>
      <c r="B129" s="7"/>
      <c r="C129" s="6" t="s">
        <v>22</v>
      </c>
      <c r="D129" s="6" t="s">
        <v>23</v>
      </c>
      <c r="E129" s="6" t="s">
        <v>31</v>
      </c>
      <c r="F129" s="6" t="s">
        <v>31</v>
      </c>
      <c r="G129" s="6" t="s">
        <v>231</v>
      </c>
      <c r="H129" s="7"/>
      <c r="I129" s="8">
        <v>44895.880636574075</v>
      </c>
      <c r="J129" s="6" t="s">
        <v>230</v>
      </c>
      <c r="K129" s="12" t="s">
        <v>846</v>
      </c>
      <c r="L129" s="6" t="s">
        <v>42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 t="s">
        <v>598</v>
      </c>
      <c r="B130" s="7"/>
      <c r="C130" s="6" t="s">
        <v>22</v>
      </c>
      <c r="D130" s="6" t="s">
        <v>23</v>
      </c>
      <c r="E130" s="6" t="s">
        <v>31</v>
      </c>
      <c r="F130" s="6" t="s">
        <v>31</v>
      </c>
      <c r="G130" s="6" t="s">
        <v>601</v>
      </c>
      <c r="H130" s="7"/>
      <c r="I130" s="8">
        <v>44895.880636574075</v>
      </c>
      <c r="J130" s="6" t="s">
        <v>600</v>
      </c>
      <c r="K130" s="12" t="s">
        <v>851</v>
      </c>
      <c r="L130" s="6" t="s">
        <v>42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 t="s">
        <v>685</v>
      </c>
      <c r="B131" s="7"/>
      <c r="C131" s="6" t="s">
        <v>22</v>
      </c>
      <c r="D131" s="6" t="s">
        <v>23</v>
      </c>
      <c r="E131" s="6" t="s">
        <v>31</v>
      </c>
      <c r="F131" s="6" t="s">
        <v>31</v>
      </c>
      <c r="G131" s="6" t="s">
        <v>687</v>
      </c>
      <c r="H131" s="7"/>
      <c r="I131" s="8">
        <v>44895.880636574075</v>
      </c>
      <c r="J131" s="6" t="s">
        <v>686</v>
      </c>
      <c r="K131" s="12" t="s">
        <v>857</v>
      </c>
      <c r="L131" s="6" t="s">
        <v>42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 t="s">
        <v>197</v>
      </c>
      <c r="B132" s="7"/>
      <c r="C132" s="6" t="s">
        <v>22</v>
      </c>
      <c r="D132" s="6" t="s">
        <v>23</v>
      </c>
      <c r="E132" s="6" t="s">
        <v>31</v>
      </c>
      <c r="F132" s="6" t="s">
        <v>31</v>
      </c>
      <c r="G132" s="6" t="s">
        <v>202</v>
      </c>
      <c r="H132" s="7"/>
      <c r="I132" s="8">
        <v>44895.880636574075</v>
      </c>
      <c r="J132" s="6" t="s">
        <v>201</v>
      </c>
      <c r="K132" s="12" t="s">
        <v>863</v>
      </c>
      <c r="L132" s="6" t="s">
        <v>42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 t="s">
        <v>281</v>
      </c>
      <c r="B133" s="7"/>
      <c r="C133" s="6" t="s">
        <v>22</v>
      </c>
      <c r="D133" s="6" t="s">
        <v>23</v>
      </c>
      <c r="E133" s="6" t="s">
        <v>31</v>
      </c>
      <c r="F133" s="6" t="s">
        <v>31</v>
      </c>
      <c r="G133" s="6" t="s">
        <v>283</v>
      </c>
      <c r="H133" s="7"/>
      <c r="I133" s="8">
        <v>44895.880636574075</v>
      </c>
      <c r="J133" s="6" t="s">
        <v>282</v>
      </c>
      <c r="K133" s="12" t="s">
        <v>868</v>
      </c>
      <c r="L133" s="6" t="s">
        <v>42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 t="s">
        <v>625</v>
      </c>
      <c r="B134" s="7"/>
      <c r="C134" s="6" t="s">
        <v>22</v>
      </c>
      <c r="D134" s="6" t="s">
        <v>23</v>
      </c>
      <c r="E134" s="6" t="s">
        <v>31</v>
      </c>
      <c r="F134" s="6" t="s">
        <v>31</v>
      </c>
      <c r="G134" s="6" t="s">
        <v>630</v>
      </c>
      <c r="H134" s="7"/>
      <c r="I134" s="8">
        <v>44895.880636574075</v>
      </c>
      <c r="J134" s="6" t="s">
        <v>629</v>
      </c>
      <c r="K134" s="12" t="s">
        <v>871</v>
      </c>
      <c r="L134" s="6" t="s">
        <v>42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 t="s">
        <v>316</v>
      </c>
      <c r="B135" s="7"/>
      <c r="C135" s="6" t="s">
        <v>22</v>
      </c>
      <c r="D135" s="6" t="s">
        <v>23</v>
      </c>
      <c r="E135" s="6" t="s">
        <v>31</v>
      </c>
      <c r="F135" s="6" t="s">
        <v>31</v>
      </c>
      <c r="G135" s="6" t="s">
        <v>319</v>
      </c>
      <c r="H135" s="7"/>
      <c r="I135" s="8">
        <v>44895.880636574075</v>
      </c>
      <c r="J135" s="6" t="s">
        <v>318</v>
      </c>
      <c r="K135" s="12" t="s">
        <v>873</v>
      </c>
      <c r="L135" s="6" t="s">
        <v>42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 t="s">
        <v>345</v>
      </c>
      <c r="B136" s="7"/>
      <c r="C136" s="6" t="s">
        <v>22</v>
      </c>
      <c r="D136" s="6" t="s">
        <v>23</v>
      </c>
      <c r="E136" s="6" t="s">
        <v>31</v>
      </c>
      <c r="F136" s="6" t="s">
        <v>31</v>
      </c>
      <c r="G136" s="6" t="s">
        <v>347</v>
      </c>
      <c r="H136" s="7"/>
      <c r="I136" s="8">
        <v>44895.880636574075</v>
      </c>
      <c r="J136" s="6" t="s">
        <v>346</v>
      </c>
      <c r="K136" s="12" t="s">
        <v>875</v>
      </c>
      <c r="L136" s="6" t="s">
        <v>42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 t="s">
        <v>236</v>
      </c>
      <c r="B137" s="7"/>
      <c r="C137" s="6" t="s">
        <v>22</v>
      </c>
      <c r="D137" s="6" t="s">
        <v>23</v>
      </c>
      <c r="E137" s="6" t="s">
        <v>31</v>
      </c>
      <c r="F137" s="6" t="s">
        <v>31</v>
      </c>
      <c r="G137" s="6" t="s">
        <v>238</v>
      </c>
      <c r="H137" s="7"/>
      <c r="I137" s="8">
        <v>44895.880636574075</v>
      </c>
      <c r="J137" s="6" t="s">
        <v>237</v>
      </c>
      <c r="K137" s="12" t="s">
        <v>877</v>
      </c>
      <c r="L137" s="6" t="s">
        <v>42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 t="s">
        <v>151</v>
      </c>
      <c r="B138" s="7"/>
      <c r="C138" s="6" t="s">
        <v>22</v>
      </c>
      <c r="D138" s="6" t="s">
        <v>23</v>
      </c>
      <c r="E138" s="6" t="s">
        <v>31</v>
      </c>
      <c r="F138" s="6" t="s">
        <v>31</v>
      </c>
      <c r="G138" s="6" t="s">
        <v>153</v>
      </c>
      <c r="H138" s="7"/>
      <c r="I138" s="8">
        <v>44895.880636574075</v>
      </c>
      <c r="J138" s="6" t="s">
        <v>152</v>
      </c>
      <c r="K138" s="12" t="s">
        <v>879</v>
      </c>
      <c r="L138" s="6" t="s">
        <v>42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 t="s">
        <v>182</v>
      </c>
      <c r="B139" s="7"/>
      <c r="C139" s="6" t="s">
        <v>22</v>
      </c>
      <c r="D139" s="6" t="s">
        <v>23</v>
      </c>
      <c r="E139" s="6" t="s">
        <v>31</v>
      </c>
      <c r="F139" s="6" t="s">
        <v>31</v>
      </c>
      <c r="G139" s="6" t="s">
        <v>184</v>
      </c>
      <c r="H139" s="7"/>
      <c r="I139" s="8">
        <v>44895.880636574075</v>
      </c>
      <c r="J139" s="6" t="s">
        <v>183</v>
      </c>
      <c r="K139" s="12" t="s">
        <v>881</v>
      </c>
      <c r="L139" s="6" t="s">
        <v>42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 t="s">
        <v>324</v>
      </c>
      <c r="B140" s="7"/>
      <c r="C140" s="6" t="s">
        <v>22</v>
      </c>
      <c r="D140" s="6" t="s">
        <v>23</v>
      </c>
      <c r="E140" s="6" t="s">
        <v>31</v>
      </c>
      <c r="F140" s="6" t="s">
        <v>31</v>
      </c>
      <c r="G140" s="6" t="s">
        <v>326</v>
      </c>
      <c r="H140" s="7"/>
      <c r="I140" s="8">
        <v>44895.880636574075</v>
      </c>
      <c r="J140" s="6" t="s">
        <v>325</v>
      </c>
      <c r="K140" s="12" t="s">
        <v>883</v>
      </c>
      <c r="L140" s="6" t="s">
        <v>42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 t="s">
        <v>337</v>
      </c>
      <c r="B141" s="7"/>
      <c r="C141" s="6" t="s">
        <v>22</v>
      </c>
      <c r="D141" s="6" t="s">
        <v>23</v>
      </c>
      <c r="E141" s="6" t="s">
        <v>31</v>
      </c>
      <c r="F141" s="6" t="s">
        <v>31</v>
      </c>
      <c r="G141" s="6" t="s">
        <v>340</v>
      </c>
      <c r="H141" s="7"/>
      <c r="I141" s="8">
        <v>44895.880636574075</v>
      </c>
      <c r="J141" s="6" t="s">
        <v>338</v>
      </c>
      <c r="K141" s="12" t="s">
        <v>885</v>
      </c>
      <c r="L141" s="6" t="s">
        <v>42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 t="s">
        <v>311</v>
      </c>
      <c r="B142" s="7"/>
      <c r="C142" s="6" t="s">
        <v>22</v>
      </c>
      <c r="D142" s="6" t="s">
        <v>23</v>
      </c>
      <c r="E142" s="6" t="s">
        <v>31</v>
      </c>
      <c r="F142" s="6" t="s">
        <v>31</v>
      </c>
      <c r="G142" s="6" t="s">
        <v>313</v>
      </c>
      <c r="H142" s="7"/>
      <c r="I142" s="8">
        <v>44895.880636574075</v>
      </c>
      <c r="J142" s="6" t="s">
        <v>312</v>
      </c>
      <c r="K142" s="12" t="s">
        <v>887</v>
      </c>
      <c r="L142" s="6" t="s">
        <v>42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 t="s">
        <v>191</v>
      </c>
      <c r="B143" s="7"/>
      <c r="C143" s="6" t="s">
        <v>22</v>
      </c>
      <c r="D143" s="6" t="s">
        <v>23</v>
      </c>
      <c r="E143" s="6" t="s">
        <v>31</v>
      </c>
      <c r="F143" s="6" t="s">
        <v>31</v>
      </c>
      <c r="G143" s="6" t="s">
        <v>194</v>
      </c>
      <c r="H143" s="7"/>
      <c r="I143" s="8">
        <v>44895.880636574075</v>
      </c>
      <c r="J143" s="6" t="s">
        <v>193</v>
      </c>
      <c r="K143" s="12" t="s">
        <v>890</v>
      </c>
      <c r="L143" s="6" t="s">
        <v>42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 t="s">
        <v>651</v>
      </c>
      <c r="B144" s="7"/>
      <c r="C144" s="6" t="s">
        <v>22</v>
      </c>
      <c r="D144" s="6" t="s">
        <v>23</v>
      </c>
      <c r="E144" s="6" t="s">
        <v>31</v>
      </c>
      <c r="F144" s="6" t="s">
        <v>31</v>
      </c>
      <c r="G144" s="6" t="s">
        <v>653</v>
      </c>
      <c r="H144" s="7"/>
      <c r="I144" s="8">
        <v>44895.880636574075</v>
      </c>
      <c r="J144" s="6" t="s">
        <v>652</v>
      </c>
      <c r="K144" s="12" t="s">
        <v>892</v>
      </c>
      <c r="L144" s="6" t="s">
        <v>42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 t="s">
        <v>669</v>
      </c>
      <c r="B145" s="7"/>
      <c r="C145" s="6" t="s">
        <v>22</v>
      </c>
      <c r="D145" s="6" t="s">
        <v>23</v>
      </c>
      <c r="E145" s="6" t="s">
        <v>31</v>
      </c>
      <c r="F145" s="6" t="s">
        <v>31</v>
      </c>
      <c r="G145" s="6" t="s">
        <v>671</v>
      </c>
      <c r="H145" s="7"/>
      <c r="I145" s="8">
        <v>44895.880636574075</v>
      </c>
      <c r="J145" s="6" t="s">
        <v>670</v>
      </c>
      <c r="K145" s="12" t="s">
        <v>894</v>
      </c>
      <c r="L145" s="6" t="s">
        <v>42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 t="s">
        <v>87</v>
      </c>
      <c r="B146" s="7"/>
      <c r="C146" s="6" t="s">
        <v>22</v>
      </c>
      <c r="D146" s="6" t="s">
        <v>23</v>
      </c>
      <c r="E146" s="6" t="s">
        <v>31</v>
      </c>
      <c r="F146" s="6" t="s">
        <v>31</v>
      </c>
      <c r="G146" s="6" t="s">
        <v>90</v>
      </c>
      <c r="H146" s="7"/>
      <c r="I146" s="8">
        <v>44895.880636574075</v>
      </c>
      <c r="J146" s="6" t="s">
        <v>88</v>
      </c>
      <c r="K146" s="12" t="s">
        <v>896</v>
      </c>
      <c r="L146" s="6" t="s">
        <v>42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 t="s">
        <v>732</v>
      </c>
      <c r="B147" s="7"/>
      <c r="C147" s="6" t="s">
        <v>22</v>
      </c>
      <c r="D147" s="6" t="s">
        <v>23</v>
      </c>
      <c r="E147" s="6" t="s">
        <v>31</v>
      </c>
      <c r="F147" s="6" t="s">
        <v>31</v>
      </c>
      <c r="G147" s="6" t="s">
        <v>734</v>
      </c>
      <c r="H147" s="7"/>
      <c r="I147" s="8">
        <v>44895.880636574075</v>
      </c>
      <c r="J147" s="6" t="s">
        <v>733</v>
      </c>
      <c r="K147" s="12" t="s">
        <v>899</v>
      </c>
      <c r="L147" s="6" t="s">
        <v>42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 t="s">
        <v>617</v>
      </c>
      <c r="B148" s="7"/>
      <c r="C148" s="6" t="s">
        <v>22</v>
      </c>
      <c r="D148" s="6" t="s">
        <v>23</v>
      </c>
      <c r="E148" s="6" t="s">
        <v>31</v>
      </c>
      <c r="F148" s="6" t="s">
        <v>31</v>
      </c>
      <c r="G148" s="6" t="s">
        <v>621</v>
      </c>
      <c r="H148" s="7"/>
      <c r="I148" s="8">
        <v>44895.880636574075</v>
      </c>
      <c r="J148" s="6" t="s">
        <v>619</v>
      </c>
      <c r="K148" s="12" t="s">
        <v>901</v>
      </c>
      <c r="L148" s="6" t="s">
        <v>42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 t="s">
        <v>590</v>
      </c>
      <c r="B149" s="7"/>
      <c r="C149" s="6" t="s">
        <v>22</v>
      </c>
      <c r="D149" s="6" t="s">
        <v>23</v>
      </c>
      <c r="E149" s="6" t="s">
        <v>31</v>
      </c>
      <c r="F149" s="6" t="s">
        <v>31</v>
      </c>
      <c r="G149" s="6" t="s">
        <v>594</v>
      </c>
      <c r="H149" s="7"/>
      <c r="I149" s="8">
        <v>44895.880636574075</v>
      </c>
      <c r="J149" s="6" t="s">
        <v>592</v>
      </c>
      <c r="K149" s="12" t="s">
        <v>903</v>
      </c>
      <c r="L149" s="6" t="s">
        <v>42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 t="s">
        <v>727</v>
      </c>
      <c r="B150" s="7"/>
      <c r="C150" s="6" t="s">
        <v>22</v>
      </c>
      <c r="D150" s="6" t="s">
        <v>23</v>
      </c>
      <c r="E150" s="6" t="s">
        <v>31</v>
      </c>
      <c r="F150" s="6" t="s">
        <v>31</v>
      </c>
      <c r="G150" s="6" t="s">
        <v>729</v>
      </c>
      <c r="H150" s="7"/>
      <c r="I150" s="8">
        <v>44895.880636574075</v>
      </c>
      <c r="J150" s="6" t="s">
        <v>728</v>
      </c>
      <c r="K150" s="12" t="s">
        <v>905</v>
      </c>
      <c r="L150" s="6" t="s">
        <v>42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 t="s">
        <v>477</v>
      </c>
      <c r="B151" s="7"/>
      <c r="C151" s="6" t="s">
        <v>22</v>
      </c>
      <c r="D151" s="6" t="s">
        <v>23</v>
      </c>
      <c r="E151" s="6" t="s">
        <v>31</v>
      </c>
      <c r="F151" s="6" t="s">
        <v>31</v>
      </c>
      <c r="G151" s="6" t="s">
        <v>479</v>
      </c>
      <c r="H151" s="7"/>
      <c r="I151" s="8">
        <v>44895.880636574075</v>
      </c>
      <c r="J151" s="6" t="s">
        <v>478</v>
      </c>
      <c r="K151" s="12" t="s">
        <v>907</v>
      </c>
      <c r="L151" s="6" t="s">
        <v>42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 t="s">
        <v>366</v>
      </c>
      <c r="B152" s="7"/>
      <c r="C152" s="6" t="s">
        <v>22</v>
      </c>
      <c r="D152" s="6" t="s">
        <v>23</v>
      </c>
      <c r="E152" s="6" t="s">
        <v>31</v>
      </c>
      <c r="F152" s="6" t="s">
        <v>31</v>
      </c>
      <c r="G152" s="6" t="s">
        <v>368</v>
      </c>
      <c r="H152" s="7"/>
      <c r="I152" s="8">
        <v>44895.880636574075</v>
      </c>
      <c r="J152" s="6" t="s">
        <v>367</v>
      </c>
      <c r="K152" s="12" t="s">
        <v>909</v>
      </c>
      <c r="L152" s="6" t="s">
        <v>42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 t="s">
        <v>829</v>
      </c>
      <c r="B153" s="7"/>
      <c r="C153" s="6" t="s">
        <v>22</v>
      </c>
      <c r="D153" s="6" t="s">
        <v>23</v>
      </c>
      <c r="E153" s="6" t="s">
        <v>31</v>
      </c>
      <c r="F153" s="6" t="s">
        <v>31</v>
      </c>
      <c r="G153" s="6" t="s">
        <v>831</v>
      </c>
      <c r="H153" s="7"/>
      <c r="I153" s="8">
        <v>44895.880636574075</v>
      </c>
      <c r="J153" s="6" t="s">
        <v>830</v>
      </c>
      <c r="K153" s="12" t="s">
        <v>913</v>
      </c>
      <c r="L153" s="6" t="s">
        <v>42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 t="s">
        <v>823</v>
      </c>
      <c r="B154" s="7"/>
      <c r="C154" s="6" t="s">
        <v>22</v>
      </c>
      <c r="D154" s="6" t="s">
        <v>23</v>
      </c>
      <c r="E154" s="6" t="s">
        <v>31</v>
      </c>
      <c r="F154" s="6" t="s">
        <v>31</v>
      </c>
      <c r="G154" s="6" t="s">
        <v>825</v>
      </c>
      <c r="H154" s="7"/>
      <c r="I154" s="8">
        <v>44895.880636574075</v>
      </c>
      <c r="J154" s="6" t="s">
        <v>824</v>
      </c>
      <c r="K154" s="12" t="s">
        <v>918</v>
      </c>
      <c r="L154" s="6" t="s">
        <v>42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 t="s">
        <v>921</v>
      </c>
      <c r="B155" s="7"/>
      <c r="C155" s="6" t="s">
        <v>22</v>
      </c>
      <c r="D155" s="6" t="s">
        <v>23</v>
      </c>
      <c r="E155" s="6" t="s">
        <v>31</v>
      </c>
      <c r="F155" s="6" t="s">
        <v>31</v>
      </c>
      <c r="G155" s="6" t="s">
        <v>923</v>
      </c>
      <c r="H155" s="7"/>
      <c r="I155" s="8">
        <v>44895.880636574075</v>
      </c>
      <c r="J155" s="6" t="s">
        <v>926</v>
      </c>
      <c r="K155" s="12" t="s">
        <v>928</v>
      </c>
      <c r="L155" s="6" t="s">
        <v>42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 t="s">
        <v>803</v>
      </c>
      <c r="B156" s="7"/>
      <c r="C156" s="6" t="s">
        <v>22</v>
      </c>
      <c r="D156" s="6" t="s">
        <v>23</v>
      </c>
      <c r="E156" s="6" t="s">
        <v>31</v>
      </c>
      <c r="F156" s="6" t="s">
        <v>31</v>
      </c>
      <c r="G156" s="6" t="s">
        <v>805</v>
      </c>
      <c r="H156" s="7"/>
      <c r="I156" s="8">
        <v>44895.880636574075</v>
      </c>
      <c r="J156" s="6" t="s">
        <v>804</v>
      </c>
      <c r="K156" s="12" t="s">
        <v>930</v>
      </c>
      <c r="L156" s="6" t="s">
        <v>42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 t="s">
        <v>747</v>
      </c>
      <c r="B157" s="7"/>
      <c r="C157" s="6" t="s">
        <v>22</v>
      </c>
      <c r="D157" s="6" t="s">
        <v>23</v>
      </c>
      <c r="E157" s="6" t="s">
        <v>31</v>
      </c>
      <c r="F157" s="6" t="s">
        <v>31</v>
      </c>
      <c r="G157" s="6" t="s">
        <v>750</v>
      </c>
      <c r="H157" s="7"/>
      <c r="I157" s="8">
        <v>44895.880636574075</v>
      </c>
      <c r="J157" s="6" t="s">
        <v>749</v>
      </c>
      <c r="K157" s="12" t="s">
        <v>932</v>
      </c>
      <c r="L157" s="6" t="s">
        <v>42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 t="s">
        <v>835</v>
      </c>
      <c r="B158" s="7"/>
      <c r="C158" s="6" t="s">
        <v>22</v>
      </c>
      <c r="D158" s="6" t="s">
        <v>23</v>
      </c>
      <c r="E158" s="6" t="s">
        <v>31</v>
      </c>
      <c r="F158" s="6" t="s">
        <v>31</v>
      </c>
      <c r="G158" s="6" t="s">
        <v>837</v>
      </c>
      <c r="H158" s="7"/>
      <c r="I158" s="8">
        <v>44895.880636574075</v>
      </c>
      <c r="J158" s="6" t="s">
        <v>836</v>
      </c>
      <c r="K158" s="12" t="s">
        <v>933</v>
      </c>
      <c r="L158" s="6" t="s">
        <v>42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 t="s">
        <v>768</v>
      </c>
      <c r="B159" s="7"/>
      <c r="C159" s="6" t="s">
        <v>22</v>
      </c>
      <c r="D159" s="6" t="s">
        <v>23</v>
      </c>
      <c r="E159" s="6" t="s">
        <v>31</v>
      </c>
      <c r="F159" s="6" t="s">
        <v>31</v>
      </c>
      <c r="G159" s="6" t="s">
        <v>770</v>
      </c>
      <c r="H159" s="7"/>
      <c r="I159" s="8">
        <v>44895.880636574075</v>
      </c>
      <c r="J159" s="6" t="s">
        <v>769</v>
      </c>
      <c r="K159" s="12" t="s">
        <v>935</v>
      </c>
      <c r="L159" s="6" t="s">
        <v>42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 t="s">
        <v>797</v>
      </c>
      <c r="B160" s="7"/>
      <c r="C160" s="6" t="s">
        <v>22</v>
      </c>
      <c r="D160" s="6" t="s">
        <v>23</v>
      </c>
      <c r="E160" s="6" t="s">
        <v>31</v>
      </c>
      <c r="F160" s="6" t="s">
        <v>31</v>
      </c>
      <c r="G160" s="6" t="s">
        <v>799</v>
      </c>
      <c r="H160" s="7"/>
      <c r="I160" s="8">
        <v>44895.880636574075</v>
      </c>
      <c r="J160" s="6" t="s">
        <v>798</v>
      </c>
      <c r="K160" s="12" t="s">
        <v>940</v>
      </c>
      <c r="L160" s="6" t="s">
        <v>42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 t="s">
        <v>813</v>
      </c>
      <c r="B161" s="7"/>
      <c r="C161" s="6" t="s">
        <v>22</v>
      </c>
      <c r="D161" s="6" t="s">
        <v>23</v>
      </c>
      <c r="E161" s="6" t="s">
        <v>31</v>
      </c>
      <c r="F161" s="6" t="s">
        <v>31</v>
      </c>
      <c r="G161" s="6" t="s">
        <v>815</v>
      </c>
      <c r="H161" s="7"/>
      <c r="I161" s="8">
        <v>44895.880636574075</v>
      </c>
      <c r="J161" s="6" t="s">
        <v>814</v>
      </c>
      <c r="K161" s="12" t="s">
        <v>945</v>
      </c>
      <c r="L161" s="6" t="s">
        <v>42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 t="s">
        <v>792</v>
      </c>
      <c r="B162" s="7"/>
      <c r="C162" s="6" t="s">
        <v>22</v>
      </c>
      <c r="D162" s="6" t="s">
        <v>23</v>
      </c>
      <c r="E162" s="6" t="s">
        <v>31</v>
      </c>
      <c r="F162" s="6" t="s">
        <v>31</v>
      </c>
      <c r="G162" s="6" t="s">
        <v>794</v>
      </c>
      <c r="H162" s="7"/>
      <c r="I162" s="8">
        <v>44895.880636574075</v>
      </c>
      <c r="J162" s="6" t="s">
        <v>793</v>
      </c>
      <c r="K162" s="12" t="s">
        <v>947</v>
      </c>
      <c r="L162" s="6" t="s">
        <v>42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" t="s">
        <v>220</v>
      </c>
      <c r="B163" s="7"/>
      <c r="C163" s="6" t="s">
        <v>22</v>
      </c>
      <c r="D163" s="6" t="s">
        <v>23</v>
      </c>
      <c r="E163" s="6" t="s">
        <v>31</v>
      </c>
      <c r="F163" s="6" t="s">
        <v>31</v>
      </c>
      <c r="G163" s="6" t="s">
        <v>223</v>
      </c>
      <c r="H163" s="7"/>
      <c r="I163" s="8">
        <v>44895.880636574075</v>
      </c>
      <c r="J163" s="6" t="s">
        <v>222</v>
      </c>
      <c r="K163" s="12" t="s">
        <v>949</v>
      </c>
      <c r="L163" s="6" t="s">
        <v>42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 t="s">
        <v>382</v>
      </c>
      <c r="B164" s="7"/>
      <c r="C164" s="6" t="s">
        <v>22</v>
      </c>
      <c r="D164" s="6" t="s">
        <v>23</v>
      </c>
      <c r="E164" s="6" t="s">
        <v>31</v>
      </c>
      <c r="F164" s="6" t="s">
        <v>31</v>
      </c>
      <c r="G164" s="6" t="s">
        <v>384</v>
      </c>
      <c r="H164" s="7"/>
      <c r="I164" s="8">
        <v>44895.880636574075</v>
      </c>
      <c r="J164" s="6" t="s">
        <v>383</v>
      </c>
      <c r="K164" s="12" t="s">
        <v>951</v>
      </c>
      <c r="L164" s="6" t="s">
        <v>42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" t="s">
        <v>785</v>
      </c>
      <c r="B165" s="7"/>
      <c r="C165" s="6" t="s">
        <v>22</v>
      </c>
      <c r="D165" s="6" t="s">
        <v>23</v>
      </c>
      <c r="E165" s="6" t="s">
        <v>31</v>
      </c>
      <c r="F165" s="6" t="s">
        <v>31</v>
      </c>
      <c r="G165" s="6" t="s">
        <v>787</v>
      </c>
      <c r="H165" s="7"/>
      <c r="I165" s="8">
        <v>44895.880636574075</v>
      </c>
      <c r="J165" s="6" t="s">
        <v>786</v>
      </c>
      <c r="K165" s="12" t="s">
        <v>956</v>
      </c>
      <c r="L165" s="6" t="s">
        <v>42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" t="s">
        <v>390</v>
      </c>
      <c r="B166" s="7"/>
      <c r="C166" s="6" t="s">
        <v>22</v>
      </c>
      <c r="D166" s="6" t="s">
        <v>23</v>
      </c>
      <c r="E166" s="6" t="s">
        <v>31</v>
      </c>
      <c r="F166" s="6" t="s">
        <v>31</v>
      </c>
      <c r="G166" s="6" t="s">
        <v>392</v>
      </c>
      <c r="H166" s="7"/>
      <c r="I166" s="8">
        <v>44895.880636574075</v>
      </c>
      <c r="J166" s="6" t="s">
        <v>391</v>
      </c>
      <c r="K166" s="12" t="s">
        <v>958</v>
      </c>
      <c r="L166" s="6" t="s">
        <v>42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" t="s">
        <v>677</v>
      </c>
      <c r="B167" s="7"/>
      <c r="C167" s="6" t="s">
        <v>22</v>
      </c>
      <c r="D167" s="6" t="s">
        <v>23</v>
      </c>
      <c r="E167" s="6" t="s">
        <v>31</v>
      </c>
      <c r="F167" s="6" t="s">
        <v>31</v>
      </c>
      <c r="G167" s="6" t="s">
        <v>679</v>
      </c>
      <c r="H167" s="7"/>
      <c r="I167" s="8">
        <v>44895.880636574075</v>
      </c>
      <c r="J167" s="6" t="s">
        <v>678</v>
      </c>
      <c r="K167" s="12" t="s">
        <v>961</v>
      </c>
      <c r="L167" s="6" t="s">
        <v>42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" t="s">
        <v>852</v>
      </c>
      <c r="B168" s="7"/>
      <c r="C168" s="6" t="s">
        <v>22</v>
      </c>
      <c r="D168" s="6" t="s">
        <v>23</v>
      </c>
      <c r="E168" s="6" t="s">
        <v>31</v>
      </c>
      <c r="F168" s="6" t="s">
        <v>31</v>
      </c>
      <c r="G168" s="6" t="s">
        <v>854</v>
      </c>
      <c r="H168" s="7"/>
      <c r="I168" s="8">
        <v>44895.880636574075</v>
      </c>
      <c r="J168" s="6" t="s">
        <v>853</v>
      </c>
      <c r="K168" s="12" t="s">
        <v>963</v>
      </c>
      <c r="L168" s="6" t="s">
        <v>42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" t="s">
        <v>864</v>
      </c>
      <c r="B169" s="7"/>
      <c r="C169" s="6" t="s">
        <v>22</v>
      </c>
      <c r="D169" s="6" t="s">
        <v>23</v>
      </c>
      <c r="E169" s="6" t="s">
        <v>31</v>
      </c>
      <c r="F169" s="6" t="s">
        <v>31</v>
      </c>
      <c r="G169" s="6" t="s">
        <v>866</v>
      </c>
      <c r="H169" s="7"/>
      <c r="I169" s="8">
        <v>44895.880636574075</v>
      </c>
      <c r="J169" s="6" t="s">
        <v>865</v>
      </c>
      <c r="K169" s="12" t="s">
        <v>965</v>
      </c>
      <c r="L169" s="6" t="s">
        <v>42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" t="s">
        <v>818</v>
      </c>
      <c r="B170" s="7"/>
      <c r="C170" s="6" t="s">
        <v>22</v>
      </c>
      <c r="D170" s="6" t="s">
        <v>23</v>
      </c>
      <c r="E170" s="6" t="s">
        <v>31</v>
      </c>
      <c r="F170" s="6" t="s">
        <v>31</v>
      </c>
      <c r="G170" s="6" t="s">
        <v>820</v>
      </c>
      <c r="H170" s="7"/>
      <c r="I170" s="8">
        <v>44895.880636574075</v>
      </c>
      <c r="J170" s="6" t="s">
        <v>819</v>
      </c>
      <c r="K170" s="12" t="s">
        <v>967</v>
      </c>
      <c r="L170" s="6" t="s">
        <v>42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" t="s">
        <v>485</v>
      </c>
      <c r="B171" s="7"/>
      <c r="C171" s="6" t="s">
        <v>22</v>
      </c>
      <c r="D171" s="6" t="s">
        <v>23</v>
      </c>
      <c r="E171" s="6" t="s">
        <v>31</v>
      </c>
      <c r="F171" s="6" t="s">
        <v>31</v>
      </c>
      <c r="G171" s="6" t="s">
        <v>487</v>
      </c>
      <c r="H171" s="7"/>
      <c r="I171" s="8">
        <v>44895.880636574075</v>
      </c>
      <c r="J171" s="6" t="s">
        <v>486</v>
      </c>
      <c r="K171" s="12" t="s">
        <v>969</v>
      </c>
      <c r="L171" s="6" t="s">
        <v>42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" t="s">
        <v>404</v>
      </c>
      <c r="B172" s="7"/>
      <c r="C172" s="6" t="s">
        <v>22</v>
      </c>
      <c r="D172" s="6" t="s">
        <v>23</v>
      </c>
      <c r="E172" s="6" t="s">
        <v>31</v>
      </c>
      <c r="F172" s="6" t="s">
        <v>31</v>
      </c>
      <c r="G172" s="6" t="s">
        <v>406</v>
      </c>
      <c r="H172" s="7"/>
      <c r="I172" s="8">
        <v>44895.880636574075</v>
      </c>
      <c r="J172" s="6" t="s">
        <v>405</v>
      </c>
      <c r="K172" s="12" t="s">
        <v>971</v>
      </c>
      <c r="L172" s="6" t="s">
        <v>42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" t="s">
        <v>420</v>
      </c>
      <c r="B173" s="7"/>
      <c r="C173" s="6" t="s">
        <v>22</v>
      </c>
      <c r="D173" s="6" t="s">
        <v>23</v>
      </c>
      <c r="E173" s="6" t="s">
        <v>31</v>
      </c>
      <c r="F173" s="6" t="s">
        <v>31</v>
      </c>
      <c r="G173" s="6" t="s">
        <v>422</v>
      </c>
      <c r="H173" s="7"/>
      <c r="I173" s="8">
        <v>44895.880636574075</v>
      </c>
      <c r="J173" s="6" t="s">
        <v>421</v>
      </c>
      <c r="K173" s="12" t="s">
        <v>973</v>
      </c>
      <c r="L173" s="6" t="s">
        <v>42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" t="s">
        <v>506</v>
      </c>
      <c r="B174" s="7"/>
      <c r="C174" s="6" t="s">
        <v>22</v>
      </c>
      <c r="D174" s="6" t="s">
        <v>23</v>
      </c>
      <c r="E174" s="6" t="s">
        <v>31</v>
      </c>
      <c r="F174" s="6" t="s">
        <v>31</v>
      </c>
      <c r="G174" s="6" t="s">
        <v>511</v>
      </c>
      <c r="H174" s="7"/>
      <c r="I174" s="8">
        <v>44895.880636574075</v>
      </c>
      <c r="J174" s="6" t="s">
        <v>510</v>
      </c>
      <c r="K174" s="12" t="s">
        <v>975</v>
      </c>
      <c r="L174" s="6" t="s">
        <v>42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" t="s">
        <v>773</v>
      </c>
      <c r="B175" s="7"/>
      <c r="C175" s="6" t="s">
        <v>22</v>
      </c>
      <c r="D175" s="6" t="s">
        <v>23</v>
      </c>
      <c r="E175" s="6" t="s">
        <v>31</v>
      </c>
      <c r="F175" s="6" t="s">
        <v>31</v>
      </c>
      <c r="G175" s="6" t="s">
        <v>775</v>
      </c>
      <c r="H175" s="7"/>
      <c r="I175" s="8">
        <v>44895.880636574075</v>
      </c>
      <c r="J175" s="6" t="s">
        <v>774</v>
      </c>
      <c r="K175" s="12" t="s">
        <v>977</v>
      </c>
      <c r="L175" s="6" t="s">
        <v>42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" t="s">
        <v>755</v>
      </c>
      <c r="B176" s="7"/>
      <c r="C176" s="6" t="s">
        <v>22</v>
      </c>
      <c r="D176" s="6" t="s">
        <v>23</v>
      </c>
      <c r="E176" s="6" t="s">
        <v>31</v>
      </c>
      <c r="F176" s="6" t="s">
        <v>31</v>
      </c>
      <c r="G176" s="6" t="s">
        <v>757</v>
      </c>
      <c r="H176" s="7"/>
      <c r="I176" s="8">
        <v>44895.880636574075</v>
      </c>
      <c r="J176" s="6" t="s">
        <v>756</v>
      </c>
      <c r="K176" s="12" t="s">
        <v>982</v>
      </c>
      <c r="L176" s="6" t="s">
        <v>42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" t="s">
        <v>859</v>
      </c>
      <c r="B177" s="7"/>
      <c r="C177" s="6" t="s">
        <v>22</v>
      </c>
      <c r="D177" s="6" t="s">
        <v>23</v>
      </c>
      <c r="E177" s="6" t="s">
        <v>31</v>
      </c>
      <c r="F177" s="6" t="s">
        <v>31</v>
      </c>
      <c r="G177" s="6" t="s">
        <v>861</v>
      </c>
      <c r="H177" s="7"/>
      <c r="I177" s="8">
        <v>44895.880636574075</v>
      </c>
      <c r="J177" s="6" t="s">
        <v>860</v>
      </c>
      <c r="K177" s="12" t="s">
        <v>988</v>
      </c>
      <c r="L177" s="6" t="s">
        <v>42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" t="s">
        <v>847</v>
      </c>
      <c r="B178" s="7"/>
      <c r="C178" s="6" t="s">
        <v>22</v>
      </c>
      <c r="D178" s="6" t="s">
        <v>23</v>
      </c>
      <c r="E178" s="6" t="s">
        <v>31</v>
      </c>
      <c r="F178" s="6" t="s">
        <v>31</v>
      </c>
      <c r="G178" s="6" t="s">
        <v>849</v>
      </c>
      <c r="H178" s="7"/>
      <c r="I178" s="8">
        <v>44895.880636574075</v>
      </c>
      <c r="J178" s="6" t="s">
        <v>848</v>
      </c>
      <c r="K178" s="12" t="s">
        <v>992</v>
      </c>
      <c r="L178" s="6" t="s">
        <v>42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" t="s">
        <v>840</v>
      </c>
      <c r="B179" s="7"/>
      <c r="C179" s="6" t="s">
        <v>22</v>
      </c>
      <c r="D179" s="6" t="s">
        <v>23</v>
      </c>
      <c r="E179" s="6" t="s">
        <v>31</v>
      </c>
      <c r="F179" s="6" t="s">
        <v>31</v>
      </c>
      <c r="G179" s="6" t="s">
        <v>842</v>
      </c>
      <c r="H179" s="7"/>
      <c r="I179" s="8">
        <v>44895.880636574075</v>
      </c>
      <c r="J179" s="6" t="s">
        <v>841</v>
      </c>
      <c r="K179" s="12" t="s">
        <v>995</v>
      </c>
      <c r="L179" s="6" t="s">
        <v>42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" t="s">
        <v>780</v>
      </c>
      <c r="B180" s="7"/>
      <c r="C180" s="6" t="s">
        <v>22</v>
      </c>
      <c r="D180" s="6" t="s">
        <v>23</v>
      </c>
      <c r="E180" s="6" t="s">
        <v>31</v>
      </c>
      <c r="F180" s="6" t="s">
        <v>31</v>
      </c>
      <c r="G180" s="6" t="s">
        <v>782</v>
      </c>
      <c r="H180" s="7"/>
      <c r="I180" s="8">
        <v>44895.880636574075</v>
      </c>
      <c r="J180" s="6" t="s">
        <v>781</v>
      </c>
      <c r="K180" s="12" t="s">
        <v>1003</v>
      </c>
      <c r="L180" s="6" t="s">
        <v>42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" t="s">
        <v>350</v>
      </c>
      <c r="B181" s="7"/>
      <c r="C181" s="6" t="s">
        <v>22</v>
      </c>
      <c r="D181" s="6" t="s">
        <v>23</v>
      </c>
      <c r="E181" s="6" t="s">
        <v>31</v>
      </c>
      <c r="F181" s="6" t="s">
        <v>31</v>
      </c>
      <c r="G181" s="6" t="s">
        <v>352</v>
      </c>
      <c r="H181" s="7"/>
      <c r="I181" s="8">
        <v>44895.880636574075</v>
      </c>
      <c r="J181" s="6" t="s">
        <v>351</v>
      </c>
      <c r="K181" s="12" t="s">
        <v>1005</v>
      </c>
      <c r="L181" s="6" t="s">
        <v>42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" t="s">
        <v>374</v>
      </c>
      <c r="B182" s="7"/>
      <c r="C182" s="6" t="s">
        <v>22</v>
      </c>
      <c r="D182" s="6" t="s">
        <v>23</v>
      </c>
      <c r="E182" s="6" t="s">
        <v>31</v>
      </c>
      <c r="F182" s="6" t="s">
        <v>31</v>
      </c>
      <c r="G182" s="6" t="s">
        <v>376</v>
      </c>
      <c r="H182" s="7"/>
      <c r="I182" s="8">
        <v>44895.880636574075</v>
      </c>
      <c r="J182" s="6" t="s">
        <v>375</v>
      </c>
      <c r="K182" s="12" t="s">
        <v>1010</v>
      </c>
      <c r="L182" s="6" t="s">
        <v>42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" t="s">
        <v>808</v>
      </c>
      <c r="B183" s="7"/>
      <c r="C183" s="6" t="s">
        <v>22</v>
      </c>
      <c r="D183" s="6" t="s">
        <v>23</v>
      </c>
      <c r="E183" s="6" t="s">
        <v>31</v>
      </c>
      <c r="F183" s="6" t="s">
        <v>31</v>
      </c>
      <c r="G183" s="6" t="s">
        <v>810</v>
      </c>
      <c r="H183" s="7"/>
      <c r="I183" s="8">
        <v>44895.880636574075</v>
      </c>
      <c r="J183" s="6" t="s">
        <v>809</v>
      </c>
      <c r="K183" s="12" t="s">
        <v>1012</v>
      </c>
      <c r="L183" s="6" t="s">
        <v>42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" t="s">
        <v>983</v>
      </c>
      <c r="B184" s="7"/>
      <c r="C184" s="6" t="s">
        <v>22</v>
      </c>
      <c r="D184" s="6" t="s">
        <v>23</v>
      </c>
      <c r="E184" s="6" t="s">
        <v>31</v>
      </c>
      <c r="F184" s="6" t="s">
        <v>31</v>
      </c>
      <c r="G184" s="6" t="s">
        <v>985</v>
      </c>
      <c r="H184" s="7"/>
      <c r="I184" s="8">
        <v>44895.880636574075</v>
      </c>
      <c r="J184" s="6" t="s">
        <v>984</v>
      </c>
      <c r="K184" s="12" t="s">
        <v>1017</v>
      </c>
      <c r="L184" s="6" t="s">
        <v>42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" t="s">
        <v>911</v>
      </c>
      <c r="B185" s="7"/>
      <c r="C185" s="6" t="s">
        <v>22</v>
      </c>
      <c r="D185" s="6" t="s">
        <v>23</v>
      </c>
      <c r="E185" s="6" t="s">
        <v>31</v>
      </c>
      <c r="F185" s="6" t="s">
        <v>31</v>
      </c>
      <c r="G185" s="6" t="s">
        <v>914</v>
      </c>
      <c r="H185" s="7"/>
      <c r="I185" s="8">
        <v>44895.880636574075</v>
      </c>
      <c r="J185" s="6" t="s">
        <v>912</v>
      </c>
      <c r="K185" s="12" t="s">
        <v>1022</v>
      </c>
      <c r="L185" s="6" t="s">
        <v>42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" t="s">
        <v>916</v>
      </c>
      <c r="B186" s="7"/>
      <c r="C186" s="6" t="s">
        <v>22</v>
      </c>
      <c r="D186" s="6" t="s">
        <v>23</v>
      </c>
      <c r="E186" s="6" t="s">
        <v>31</v>
      </c>
      <c r="F186" s="6" t="s">
        <v>31</v>
      </c>
      <c r="G186" s="6" t="s">
        <v>919</v>
      </c>
      <c r="H186" s="7"/>
      <c r="I186" s="8">
        <v>44895.880636574075</v>
      </c>
      <c r="J186" s="6" t="s">
        <v>917</v>
      </c>
      <c r="K186" s="12" t="s">
        <v>1027</v>
      </c>
      <c r="L186" s="6" t="s">
        <v>42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" t="s">
        <v>978</v>
      </c>
      <c r="B187" s="7"/>
      <c r="C187" s="6" t="s">
        <v>22</v>
      </c>
      <c r="D187" s="6" t="s">
        <v>23</v>
      </c>
      <c r="E187" s="6" t="s">
        <v>31</v>
      </c>
      <c r="F187" s="6" t="s">
        <v>31</v>
      </c>
      <c r="G187" s="6" t="s">
        <v>980</v>
      </c>
      <c r="H187" s="7"/>
      <c r="I187" s="8">
        <v>44895.880636574075</v>
      </c>
      <c r="J187" s="6" t="s">
        <v>979</v>
      </c>
      <c r="K187" s="12" t="s">
        <v>1029</v>
      </c>
      <c r="L187" s="6" t="s">
        <v>42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" t="s">
        <v>994</v>
      </c>
      <c r="B188" s="7"/>
      <c r="C188" s="6" t="s">
        <v>22</v>
      </c>
      <c r="D188" s="6" t="s">
        <v>23</v>
      </c>
      <c r="E188" s="6" t="s">
        <v>31</v>
      </c>
      <c r="F188" s="6" t="s">
        <v>31</v>
      </c>
      <c r="G188" s="6" t="s">
        <v>997</v>
      </c>
      <c r="H188" s="7"/>
      <c r="I188" s="8">
        <v>44895.880636574075</v>
      </c>
      <c r="J188" s="6" t="s">
        <v>996</v>
      </c>
      <c r="K188" s="12" t="s">
        <v>1034</v>
      </c>
      <c r="L188" s="6" t="s">
        <v>42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" t="s">
        <v>1023</v>
      </c>
      <c r="B189" s="7"/>
      <c r="C189" s="6" t="s">
        <v>22</v>
      </c>
      <c r="D189" s="6" t="s">
        <v>23</v>
      </c>
      <c r="E189" s="6" t="s">
        <v>31</v>
      </c>
      <c r="F189" s="6" t="s">
        <v>31</v>
      </c>
      <c r="G189" s="6" t="s">
        <v>1025</v>
      </c>
      <c r="H189" s="7"/>
      <c r="I189" s="8">
        <v>44895.880636574075</v>
      </c>
      <c r="J189" s="6" t="s">
        <v>1024</v>
      </c>
      <c r="K189" s="12" t="s">
        <v>1039</v>
      </c>
      <c r="L189" s="6" t="s">
        <v>42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" t="s">
        <v>922</v>
      </c>
      <c r="B190" s="7"/>
      <c r="C190" s="6" t="s">
        <v>22</v>
      </c>
      <c r="D190" s="6" t="s">
        <v>23</v>
      </c>
      <c r="E190" s="6" t="s">
        <v>31</v>
      </c>
      <c r="F190" s="6" t="s">
        <v>31</v>
      </c>
      <c r="G190" s="6" t="s">
        <v>925</v>
      </c>
      <c r="H190" s="7"/>
      <c r="I190" s="8">
        <v>44895.880636574075</v>
      </c>
      <c r="J190" s="6" t="s">
        <v>924</v>
      </c>
      <c r="K190" s="12" t="s">
        <v>1044</v>
      </c>
      <c r="L190" s="6" t="s">
        <v>42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" t="s">
        <v>941</v>
      </c>
      <c r="B191" s="7"/>
      <c r="C191" s="6" t="s">
        <v>22</v>
      </c>
      <c r="D191" s="6" t="s">
        <v>23</v>
      </c>
      <c r="E191" s="6" t="s">
        <v>31</v>
      </c>
      <c r="F191" s="6" t="s">
        <v>31</v>
      </c>
      <c r="G191" s="6" t="s">
        <v>943</v>
      </c>
      <c r="H191" s="7"/>
      <c r="I191" s="8">
        <v>44895.880636574075</v>
      </c>
      <c r="J191" s="6" t="s">
        <v>942</v>
      </c>
      <c r="K191" s="12" t="s">
        <v>1049</v>
      </c>
      <c r="L191" s="6" t="s">
        <v>42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" t="s">
        <v>1006</v>
      </c>
      <c r="B192" s="7"/>
      <c r="C192" s="6" t="s">
        <v>22</v>
      </c>
      <c r="D192" s="6" t="s">
        <v>23</v>
      </c>
      <c r="E192" s="6" t="s">
        <v>31</v>
      </c>
      <c r="F192" s="6" t="s">
        <v>31</v>
      </c>
      <c r="G192" s="6" t="s">
        <v>1008</v>
      </c>
      <c r="H192" s="7"/>
      <c r="I192" s="8">
        <v>44895.880636574075</v>
      </c>
      <c r="J192" s="6" t="s">
        <v>1007</v>
      </c>
      <c r="K192" s="12" t="s">
        <v>1054</v>
      </c>
      <c r="L192" s="6" t="s">
        <v>42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" t="s">
        <v>936</v>
      </c>
      <c r="B193" s="7"/>
      <c r="C193" s="6" t="s">
        <v>22</v>
      </c>
      <c r="D193" s="6" t="s">
        <v>23</v>
      </c>
      <c r="E193" s="6" t="s">
        <v>31</v>
      </c>
      <c r="F193" s="6" t="s">
        <v>31</v>
      </c>
      <c r="G193" s="6" t="s">
        <v>938</v>
      </c>
      <c r="H193" s="7"/>
      <c r="I193" s="8">
        <v>44895.880636574075</v>
      </c>
      <c r="J193" s="6" t="s">
        <v>937</v>
      </c>
      <c r="K193" s="12" t="s">
        <v>1059</v>
      </c>
      <c r="L193" s="6" t="s">
        <v>42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" t="s">
        <v>999</v>
      </c>
      <c r="B194" s="7"/>
      <c r="C194" s="6" t="s">
        <v>22</v>
      </c>
      <c r="D194" s="6" t="s">
        <v>23</v>
      </c>
      <c r="E194" s="6" t="s">
        <v>31</v>
      </c>
      <c r="F194" s="6" t="s">
        <v>31</v>
      </c>
      <c r="G194" s="6" t="s">
        <v>1001</v>
      </c>
      <c r="H194" s="7"/>
      <c r="I194" s="8">
        <v>44895.880636574075</v>
      </c>
      <c r="J194" s="6" t="s">
        <v>1000</v>
      </c>
      <c r="K194" s="12" t="s">
        <v>1064</v>
      </c>
      <c r="L194" s="6" t="s">
        <v>42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" t="s">
        <v>1013</v>
      </c>
      <c r="B195" s="7"/>
      <c r="C195" s="6" t="s">
        <v>22</v>
      </c>
      <c r="D195" s="6" t="s">
        <v>23</v>
      </c>
      <c r="E195" s="6" t="s">
        <v>31</v>
      </c>
      <c r="F195" s="6" t="s">
        <v>31</v>
      </c>
      <c r="G195" s="6" t="s">
        <v>1015</v>
      </c>
      <c r="H195" s="7"/>
      <c r="I195" s="8">
        <v>44895.880636574075</v>
      </c>
      <c r="J195" s="6" t="s">
        <v>1014</v>
      </c>
      <c r="K195" s="12" t="s">
        <v>1073</v>
      </c>
      <c r="L195" s="6" t="s">
        <v>42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" t="s">
        <v>987</v>
      </c>
      <c r="B196" s="7"/>
      <c r="C196" s="6" t="s">
        <v>22</v>
      </c>
      <c r="D196" s="6" t="s">
        <v>23</v>
      </c>
      <c r="E196" s="6" t="s">
        <v>31</v>
      </c>
      <c r="F196" s="6" t="s">
        <v>31</v>
      </c>
      <c r="G196" s="6" t="s">
        <v>990</v>
      </c>
      <c r="H196" s="7"/>
      <c r="I196" s="8">
        <v>44895.880636574075</v>
      </c>
      <c r="J196" s="6" t="s">
        <v>989</v>
      </c>
      <c r="K196" s="12" t="s">
        <v>1078</v>
      </c>
      <c r="L196" s="6" t="s">
        <v>42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" t="s">
        <v>952</v>
      </c>
      <c r="B197" s="7"/>
      <c r="C197" s="6" t="s">
        <v>22</v>
      </c>
      <c r="D197" s="6" t="s">
        <v>23</v>
      </c>
      <c r="E197" s="6" t="s">
        <v>31</v>
      </c>
      <c r="F197" s="6" t="s">
        <v>31</v>
      </c>
      <c r="G197" s="6" t="s">
        <v>954</v>
      </c>
      <c r="H197" s="7"/>
      <c r="I197" s="8">
        <v>44895.880636574075</v>
      </c>
      <c r="J197" s="6" t="s">
        <v>953</v>
      </c>
      <c r="K197" s="12" t="s">
        <v>1083</v>
      </c>
      <c r="L197" s="6" t="s">
        <v>42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" t="s">
        <v>412</v>
      </c>
      <c r="B198" s="7"/>
      <c r="C198" s="6" t="s">
        <v>22</v>
      </c>
      <c r="D198" s="6" t="s">
        <v>23</v>
      </c>
      <c r="E198" s="6" t="s">
        <v>31</v>
      </c>
      <c r="F198" s="6" t="s">
        <v>31</v>
      </c>
      <c r="G198" s="6" t="s">
        <v>414</v>
      </c>
      <c r="H198" s="7"/>
      <c r="I198" s="8">
        <v>44895.880636574075</v>
      </c>
      <c r="J198" s="6" t="s">
        <v>413</v>
      </c>
      <c r="K198" s="12" t="s">
        <v>1088</v>
      </c>
      <c r="L198" s="6" t="s">
        <v>42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" t="s">
        <v>1060</v>
      </c>
      <c r="B199" s="7"/>
      <c r="C199" s="6" t="s">
        <v>22</v>
      </c>
      <c r="D199" s="6" t="s">
        <v>23</v>
      </c>
      <c r="E199" s="6" t="s">
        <v>31</v>
      </c>
      <c r="F199" s="6" t="s">
        <v>31</v>
      </c>
      <c r="G199" s="6" t="s">
        <v>1062</v>
      </c>
      <c r="H199" s="7"/>
      <c r="I199" s="8">
        <v>44895.880636574075</v>
      </c>
      <c r="J199" s="6" t="s">
        <v>1061</v>
      </c>
      <c r="K199" s="12" t="s">
        <v>1093</v>
      </c>
      <c r="L199" s="6" t="s">
        <v>42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" t="s">
        <v>1050</v>
      </c>
      <c r="B200" s="7"/>
      <c r="C200" s="6" t="s">
        <v>22</v>
      </c>
      <c r="D200" s="6" t="s">
        <v>23</v>
      </c>
      <c r="E200" s="6" t="s">
        <v>31</v>
      </c>
      <c r="F200" s="6" t="s">
        <v>31</v>
      </c>
      <c r="G200" s="6" t="s">
        <v>1052</v>
      </c>
      <c r="H200" s="7"/>
      <c r="I200" s="8">
        <v>44895.880636574075</v>
      </c>
      <c r="J200" s="6" t="s">
        <v>1051</v>
      </c>
      <c r="K200" s="12" t="s">
        <v>1098</v>
      </c>
      <c r="L200" s="6" t="s">
        <v>42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" t="s">
        <v>1099</v>
      </c>
      <c r="B201" s="7"/>
      <c r="C201" s="6" t="s">
        <v>22</v>
      </c>
      <c r="D201" s="6" t="s">
        <v>23</v>
      </c>
      <c r="E201" s="6" t="s">
        <v>31</v>
      </c>
      <c r="F201" s="6" t="s">
        <v>31</v>
      </c>
      <c r="G201" s="6" t="s">
        <v>1101</v>
      </c>
      <c r="H201" s="7"/>
      <c r="I201" s="8">
        <v>44895.880636574075</v>
      </c>
      <c r="J201" s="6" t="s">
        <v>1100</v>
      </c>
      <c r="K201" s="12" t="s">
        <v>1103</v>
      </c>
      <c r="L201" s="6" t="s">
        <v>42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" t="s">
        <v>1079</v>
      </c>
      <c r="B202" s="7"/>
      <c r="C202" s="6" t="s">
        <v>22</v>
      </c>
      <c r="D202" s="6" t="s">
        <v>23</v>
      </c>
      <c r="E202" s="6" t="s">
        <v>31</v>
      </c>
      <c r="F202" s="6" t="s">
        <v>31</v>
      </c>
      <c r="G202" s="6" t="s">
        <v>1081</v>
      </c>
      <c r="H202" s="7"/>
      <c r="I202" s="8">
        <v>44895.880636574075</v>
      </c>
      <c r="J202" s="6" t="s">
        <v>1080</v>
      </c>
      <c r="K202" s="12" t="s">
        <v>1109</v>
      </c>
      <c r="L202" s="6" t="s">
        <v>42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" t="s">
        <v>1094</v>
      </c>
      <c r="B203" s="7"/>
      <c r="C203" s="6" t="s">
        <v>22</v>
      </c>
      <c r="D203" s="6" t="s">
        <v>23</v>
      </c>
      <c r="E203" s="6" t="s">
        <v>31</v>
      </c>
      <c r="F203" s="6" t="s">
        <v>31</v>
      </c>
      <c r="G203" s="6" t="s">
        <v>1096</v>
      </c>
      <c r="H203" s="7"/>
      <c r="I203" s="8">
        <v>44895.880636574075</v>
      </c>
      <c r="J203" s="6" t="s">
        <v>1095</v>
      </c>
      <c r="K203" s="12" t="s">
        <v>1117</v>
      </c>
      <c r="L203" s="6" t="s">
        <v>42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" t="s">
        <v>1089</v>
      </c>
      <c r="B204" s="7"/>
      <c r="C204" s="6" t="s">
        <v>22</v>
      </c>
      <c r="D204" s="6" t="s">
        <v>23</v>
      </c>
      <c r="E204" s="6" t="s">
        <v>31</v>
      </c>
      <c r="F204" s="6" t="s">
        <v>31</v>
      </c>
      <c r="G204" s="6" t="s">
        <v>1091</v>
      </c>
      <c r="H204" s="7"/>
      <c r="I204" s="8">
        <v>44895.880636574075</v>
      </c>
      <c r="J204" s="6" t="s">
        <v>1090</v>
      </c>
      <c r="K204" s="12" t="s">
        <v>1119</v>
      </c>
      <c r="L204" s="6" t="s">
        <v>42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" t="s">
        <v>1030</v>
      </c>
      <c r="B205" s="7"/>
      <c r="C205" s="6" t="s">
        <v>22</v>
      </c>
      <c r="D205" s="6" t="s">
        <v>23</v>
      </c>
      <c r="E205" s="6" t="s">
        <v>31</v>
      </c>
      <c r="F205" s="6" t="s">
        <v>31</v>
      </c>
      <c r="G205" s="6" t="s">
        <v>1032</v>
      </c>
      <c r="H205" s="7"/>
      <c r="I205" s="8">
        <v>44895.880636574075</v>
      </c>
      <c r="J205" s="6" t="s">
        <v>1031</v>
      </c>
      <c r="K205" s="12" t="s">
        <v>1125</v>
      </c>
      <c r="L205" s="6" t="s">
        <v>42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" t="s">
        <v>1084</v>
      </c>
      <c r="B206" s="7"/>
      <c r="C206" s="6" t="s">
        <v>22</v>
      </c>
      <c r="D206" s="6" t="s">
        <v>23</v>
      </c>
      <c r="E206" s="6" t="s">
        <v>31</v>
      </c>
      <c r="F206" s="6" t="s">
        <v>31</v>
      </c>
      <c r="G206" s="6" t="s">
        <v>1086</v>
      </c>
      <c r="H206" s="7"/>
      <c r="I206" s="8">
        <v>44895.880636574075</v>
      </c>
      <c r="J206" s="6" t="s">
        <v>1085</v>
      </c>
      <c r="K206" s="12" t="s">
        <v>1130</v>
      </c>
      <c r="L206" s="6" t="s">
        <v>42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" t="s">
        <v>1018</v>
      </c>
      <c r="B207" s="7"/>
      <c r="C207" s="6" t="s">
        <v>22</v>
      </c>
      <c r="D207" s="6" t="s">
        <v>23</v>
      </c>
      <c r="E207" s="6" t="s">
        <v>31</v>
      </c>
      <c r="F207" s="6" t="s">
        <v>31</v>
      </c>
      <c r="G207" s="6" t="s">
        <v>1020</v>
      </c>
      <c r="H207" s="7"/>
      <c r="I207" s="8">
        <v>44895.880636574075</v>
      </c>
      <c r="J207" s="6" t="s">
        <v>1019</v>
      </c>
      <c r="K207" s="12" t="s">
        <v>1136</v>
      </c>
      <c r="L207" s="6" t="s">
        <v>42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" t="s">
        <v>1035</v>
      </c>
      <c r="B208" s="7"/>
      <c r="C208" s="6" t="s">
        <v>22</v>
      </c>
      <c r="D208" s="6" t="s">
        <v>23</v>
      </c>
      <c r="E208" s="6" t="s">
        <v>31</v>
      </c>
      <c r="F208" s="6" t="s">
        <v>31</v>
      </c>
      <c r="G208" s="6" t="s">
        <v>1037</v>
      </c>
      <c r="H208" s="7"/>
      <c r="I208" s="8">
        <v>44895.880636574075</v>
      </c>
      <c r="J208" s="6" t="s">
        <v>1036</v>
      </c>
      <c r="K208" s="12" t="s">
        <v>1140</v>
      </c>
      <c r="L208" s="6" t="s">
        <v>42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" t="s">
        <v>1104</v>
      </c>
      <c r="B209" s="7"/>
      <c r="C209" s="6" t="s">
        <v>22</v>
      </c>
      <c r="D209" s="6" t="s">
        <v>23</v>
      </c>
      <c r="E209" s="6" t="s">
        <v>31</v>
      </c>
      <c r="F209" s="6" t="s">
        <v>31</v>
      </c>
      <c r="G209" s="6" t="s">
        <v>1106</v>
      </c>
      <c r="H209" s="7"/>
      <c r="I209" s="8">
        <v>44895.880636574075</v>
      </c>
      <c r="J209" s="6" t="s">
        <v>1105</v>
      </c>
      <c r="K209" s="12" t="s">
        <v>1147</v>
      </c>
      <c r="L209" s="6" t="s">
        <v>42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" t="s">
        <v>1065</v>
      </c>
      <c r="B210" s="7"/>
      <c r="C210" s="6" t="s">
        <v>22</v>
      </c>
      <c r="D210" s="6" t="s">
        <v>23</v>
      </c>
      <c r="E210" s="6" t="s">
        <v>31</v>
      </c>
      <c r="F210" s="6" t="s">
        <v>31</v>
      </c>
      <c r="G210" s="6" t="s">
        <v>1067</v>
      </c>
      <c r="H210" s="7"/>
      <c r="I210" s="8">
        <v>44895.880636574075</v>
      </c>
      <c r="J210" s="6" t="s">
        <v>1066</v>
      </c>
      <c r="K210" s="12" t="s">
        <v>1153</v>
      </c>
      <c r="L210" s="6" t="s">
        <v>42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" t="s">
        <v>1040</v>
      </c>
      <c r="B211" s="7"/>
      <c r="C211" s="6" t="s">
        <v>22</v>
      </c>
      <c r="D211" s="6" t="s">
        <v>23</v>
      </c>
      <c r="E211" s="6" t="s">
        <v>31</v>
      </c>
      <c r="F211" s="6" t="s">
        <v>31</v>
      </c>
      <c r="G211" s="6" t="s">
        <v>1042</v>
      </c>
      <c r="H211" s="7"/>
      <c r="I211" s="8">
        <v>44895.880636574075</v>
      </c>
      <c r="J211" s="6" t="s">
        <v>1041</v>
      </c>
      <c r="K211" s="12" t="s">
        <v>1160</v>
      </c>
      <c r="L211" s="6" t="s">
        <v>42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" t="s">
        <v>1045</v>
      </c>
      <c r="B212" s="7"/>
      <c r="C212" s="6" t="s">
        <v>22</v>
      </c>
      <c r="D212" s="6" t="s">
        <v>23</v>
      </c>
      <c r="E212" s="6" t="s">
        <v>31</v>
      </c>
      <c r="F212" s="6" t="s">
        <v>31</v>
      </c>
      <c r="G212" s="6" t="s">
        <v>1047</v>
      </c>
      <c r="H212" s="7"/>
      <c r="I212" s="8">
        <v>44895.880636574075</v>
      </c>
      <c r="J212" s="6" t="s">
        <v>1046</v>
      </c>
      <c r="K212" s="12" t="s">
        <v>1165</v>
      </c>
      <c r="L212" s="6" t="s">
        <v>42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" t="s">
        <v>1069</v>
      </c>
      <c r="B213" s="7"/>
      <c r="C213" s="6" t="s">
        <v>22</v>
      </c>
      <c r="D213" s="6" t="s">
        <v>23</v>
      </c>
      <c r="E213" s="6" t="s">
        <v>31</v>
      </c>
      <c r="F213" s="6" t="s">
        <v>31</v>
      </c>
      <c r="G213" s="6" t="s">
        <v>1071</v>
      </c>
      <c r="H213" s="7"/>
      <c r="I213" s="8">
        <v>44895.880636574075</v>
      </c>
      <c r="J213" s="6" t="s">
        <v>1070</v>
      </c>
      <c r="K213" s="12" t="s">
        <v>1170</v>
      </c>
      <c r="L213" s="6" t="s">
        <v>42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" t="s">
        <v>1055</v>
      </c>
      <c r="B214" s="7"/>
      <c r="C214" s="6" t="s">
        <v>22</v>
      </c>
      <c r="D214" s="6" t="s">
        <v>23</v>
      </c>
      <c r="E214" s="6" t="s">
        <v>31</v>
      </c>
      <c r="F214" s="6" t="s">
        <v>31</v>
      </c>
      <c r="G214" s="6" t="s">
        <v>1057</v>
      </c>
      <c r="H214" s="7"/>
      <c r="I214" s="8">
        <v>44895.880636574075</v>
      </c>
      <c r="J214" s="6" t="s">
        <v>1056</v>
      </c>
      <c r="K214" s="12" t="s">
        <v>1175</v>
      </c>
      <c r="L214" s="6" t="s">
        <v>42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" t="s">
        <v>1074</v>
      </c>
      <c r="B215" s="7"/>
      <c r="C215" s="6" t="s">
        <v>22</v>
      </c>
      <c r="D215" s="6" t="s">
        <v>23</v>
      </c>
      <c r="E215" s="6" t="s">
        <v>31</v>
      </c>
      <c r="F215" s="6" t="s">
        <v>31</v>
      </c>
      <c r="G215" s="6" t="s">
        <v>1076</v>
      </c>
      <c r="H215" s="7"/>
      <c r="I215" s="8">
        <v>44895.880636574075</v>
      </c>
      <c r="J215" s="6" t="s">
        <v>1075</v>
      </c>
      <c r="K215" s="12" t="s">
        <v>1180</v>
      </c>
      <c r="L215" s="6" t="s">
        <v>42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" t="s">
        <v>1185</v>
      </c>
      <c r="B216" s="7"/>
      <c r="C216" s="6" t="s">
        <v>22</v>
      </c>
      <c r="D216" s="6" t="s">
        <v>23</v>
      </c>
      <c r="E216" s="6" t="s">
        <v>31</v>
      </c>
      <c r="F216" s="6" t="s">
        <v>31</v>
      </c>
      <c r="G216" s="6" t="s">
        <v>1186</v>
      </c>
      <c r="H216" s="7"/>
      <c r="I216" s="30">
        <v>45083.44153935185</v>
      </c>
      <c r="J216" s="6" t="s">
        <v>1191</v>
      </c>
      <c r="K216" s="12" t="s">
        <v>1192</v>
      </c>
      <c r="L216" s="6" t="s">
        <v>42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" t="s">
        <v>1197</v>
      </c>
      <c r="B217" s="7"/>
      <c r="C217" s="6" t="s">
        <v>22</v>
      </c>
      <c r="D217" s="6" t="s">
        <v>23</v>
      </c>
      <c r="E217" s="6" t="s">
        <v>31</v>
      </c>
      <c r="F217" s="6" t="s">
        <v>31</v>
      </c>
      <c r="G217" s="6" t="s">
        <v>1198</v>
      </c>
      <c r="H217" s="7"/>
      <c r="I217" s="30">
        <v>45083.44153935185</v>
      </c>
      <c r="J217" s="6" t="s">
        <v>1199</v>
      </c>
      <c r="K217" s="12" t="s">
        <v>1200</v>
      </c>
      <c r="L217" s="6" t="s">
        <v>42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" t="s">
        <v>1205</v>
      </c>
      <c r="B218" s="7"/>
      <c r="C218" s="6" t="s">
        <v>22</v>
      </c>
      <c r="D218" s="6" t="s">
        <v>23</v>
      </c>
      <c r="E218" s="6" t="s">
        <v>31</v>
      </c>
      <c r="F218" s="6" t="s">
        <v>31</v>
      </c>
      <c r="G218" s="6" t="s">
        <v>1206</v>
      </c>
      <c r="H218" s="7"/>
      <c r="I218" s="30">
        <v>45083.44153935185</v>
      </c>
      <c r="J218" s="6" t="s">
        <v>1207</v>
      </c>
      <c r="K218" s="12" t="s">
        <v>1208</v>
      </c>
      <c r="L218" s="6" t="s">
        <v>42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" t="s">
        <v>1213</v>
      </c>
      <c r="B219" s="7"/>
      <c r="C219" s="6" t="s">
        <v>22</v>
      </c>
      <c r="D219" s="6" t="s">
        <v>23</v>
      </c>
      <c r="E219" s="6" t="s">
        <v>31</v>
      </c>
      <c r="F219" s="6" t="s">
        <v>31</v>
      </c>
      <c r="G219" s="6" t="s">
        <v>1214</v>
      </c>
      <c r="H219" s="7"/>
      <c r="I219" s="30">
        <v>45083.44153935185</v>
      </c>
      <c r="J219" s="6" t="s">
        <v>1215</v>
      </c>
      <c r="K219" s="12" t="s">
        <v>1216</v>
      </c>
      <c r="L219" s="6" t="s">
        <v>42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" t="s">
        <v>1221</v>
      </c>
      <c r="B220" s="7"/>
      <c r="C220" s="6" t="s">
        <v>22</v>
      </c>
      <c r="D220" s="6" t="s">
        <v>23</v>
      </c>
      <c r="E220" s="6" t="s">
        <v>31</v>
      </c>
      <c r="F220" s="6" t="s">
        <v>31</v>
      </c>
      <c r="G220" s="6" t="s">
        <v>1222</v>
      </c>
      <c r="H220" s="7"/>
      <c r="I220" s="30">
        <v>45083.44153935185</v>
      </c>
      <c r="J220" s="6" t="s">
        <v>1223</v>
      </c>
      <c r="K220" s="12" t="s">
        <v>1224</v>
      </c>
      <c r="L220" s="6" t="s">
        <v>42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" t="s">
        <v>1229</v>
      </c>
      <c r="B221" s="7"/>
      <c r="C221" s="6" t="s">
        <v>22</v>
      </c>
      <c r="D221" s="6" t="s">
        <v>23</v>
      </c>
      <c r="E221" s="6" t="s">
        <v>31</v>
      </c>
      <c r="F221" s="6" t="s">
        <v>31</v>
      </c>
      <c r="G221" s="6" t="s">
        <v>1230</v>
      </c>
      <c r="H221" s="7"/>
      <c r="I221" s="30">
        <v>45083.44153935185</v>
      </c>
      <c r="J221" s="6" t="s">
        <v>1231</v>
      </c>
      <c r="K221" s="12" t="s">
        <v>1232</v>
      </c>
      <c r="L221" s="6" t="s">
        <v>42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" t="s">
        <v>1237</v>
      </c>
      <c r="B222" s="7"/>
      <c r="C222" s="6" t="s">
        <v>22</v>
      </c>
      <c r="D222" s="6" t="s">
        <v>23</v>
      </c>
      <c r="E222" s="6" t="s">
        <v>31</v>
      </c>
      <c r="F222" s="6" t="s">
        <v>31</v>
      </c>
      <c r="G222" s="6" t="s">
        <v>1238</v>
      </c>
      <c r="H222" s="7"/>
      <c r="I222" s="30">
        <v>45083.44153935185</v>
      </c>
      <c r="J222" s="6" t="s">
        <v>1239</v>
      </c>
      <c r="K222" s="12" t="s">
        <v>1240</v>
      </c>
      <c r="L222" s="6" t="s">
        <v>42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" t="s">
        <v>1126</v>
      </c>
      <c r="B223" s="7"/>
      <c r="C223" s="6" t="s">
        <v>22</v>
      </c>
      <c r="D223" s="6" t="s">
        <v>23</v>
      </c>
      <c r="E223" s="6" t="s">
        <v>31</v>
      </c>
      <c r="F223" s="6" t="s">
        <v>31</v>
      </c>
      <c r="G223" s="6" t="s">
        <v>1128</v>
      </c>
      <c r="H223" s="7"/>
      <c r="I223" s="30">
        <v>45083.44153935185</v>
      </c>
      <c r="J223" s="6" t="s">
        <v>1127</v>
      </c>
      <c r="K223" s="12" t="s">
        <v>1247</v>
      </c>
      <c r="L223" s="6" t="s">
        <v>42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" t="s">
        <v>1245</v>
      </c>
      <c r="B224" s="7"/>
      <c r="C224" s="6" t="s">
        <v>22</v>
      </c>
      <c r="D224" s="6" t="s">
        <v>23</v>
      </c>
      <c r="E224" s="6" t="s">
        <v>31</v>
      </c>
      <c r="F224" s="6" t="s">
        <v>31</v>
      </c>
      <c r="G224" s="6" t="s">
        <v>1248</v>
      </c>
      <c r="H224" s="7"/>
      <c r="I224" s="30">
        <v>45083.44153935185</v>
      </c>
      <c r="J224" s="6" t="s">
        <v>1246</v>
      </c>
      <c r="K224" s="12" t="s">
        <v>1254</v>
      </c>
      <c r="L224" s="6" t="s">
        <v>42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" t="s">
        <v>1259</v>
      </c>
      <c r="B225" s="7"/>
      <c r="C225" s="6" t="s">
        <v>22</v>
      </c>
      <c r="D225" s="6" t="s">
        <v>23</v>
      </c>
      <c r="E225" s="6" t="s">
        <v>31</v>
      </c>
      <c r="F225" s="6" t="s">
        <v>31</v>
      </c>
      <c r="G225" s="6" t="s">
        <v>1260</v>
      </c>
      <c r="H225" s="7"/>
      <c r="I225" s="30">
        <v>45083.44153935185</v>
      </c>
      <c r="J225" s="6" t="s">
        <v>1261</v>
      </c>
      <c r="K225" s="12" t="s">
        <v>1262</v>
      </c>
      <c r="L225" s="6" t="s">
        <v>42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" t="s">
        <v>1113</v>
      </c>
      <c r="B226" s="7"/>
      <c r="C226" s="6" t="s">
        <v>22</v>
      </c>
      <c r="D226" s="6" t="s">
        <v>23</v>
      </c>
      <c r="E226" s="6" t="s">
        <v>31</v>
      </c>
      <c r="F226" s="6" t="s">
        <v>31</v>
      </c>
      <c r="G226" s="6" t="s">
        <v>1116</v>
      </c>
      <c r="H226" s="7"/>
      <c r="I226" s="30">
        <v>45083.44153935185</v>
      </c>
      <c r="J226" s="6" t="s">
        <v>1115</v>
      </c>
      <c r="K226" s="12" t="s">
        <v>1267</v>
      </c>
      <c r="L226" s="6" t="s">
        <v>42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" t="s">
        <v>1151</v>
      </c>
      <c r="B227" s="7"/>
      <c r="C227" s="6" t="s">
        <v>22</v>
      </c>
      <c r="D227" s="6" t="s">
        <v>23</v>
      </c>
      <c r="E227" s="6" t="s">
        <v>31</v>
      </c>
      <c r="F227" s="6" t="s">
        <v>31</v>
      </c>
      <c r="G227" s="6" t="s">
        <v>1154</v>
      </c>
      <c r="H227" s="7"/>
      <c r="I227" s="30">
        <v>45083.44153935185</v>
      </c>
      <c r="J227" s="6" t="s">
        <v>1152</v>
      </c>
      <c r="K227" s="12" t="s">
        <v>1272</v>
      </c>
      <c r="L227" s="6" t="s">
        <v>42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" t="s">
        <v>1241</v>
      </c>
      <c r="B228" s="7"/>
      <c r="C228" s="6" t="s">
        <v>22</v>
      </c>
      <c r="D228" s="6" t="s">
        <v>23</v>
      </c>
      <c r="E228" s="6" t="s">
        <v>31</v>
      </c>
      <c r="F228" s="6" t="s">
        <v>395</v>
      </c>
      <c r="G228" s="6" t="s">
        <v>1243</v>
      </c>
      <c r="H228" s="7"/>
      <c r="I228" s="30">
        <v>45083.44153935185</v>
      </c>
      <c r="J228" s="6" t="s">
        <v>1242</v>
      </c>
      <c r="K228" s="12" t="s">
        <v>1277</v>
      </c>
      <c r="L228" s="6" t="s">
        <v>42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" t="s">
        <v>1268</v>
      </c>
      <c r="B229" s="7"/>
      <c r="C229" s="6" t="s">
        <v>22</v>
      </c>
      <c r="D229" s="6" t="s">
        <v>23</v>
      </c>
      <c r="E229" s="6" t="s">
        <v>31</v>
      </c>
      <c r="F229" s="6" t="s">
        <v>395</v>
      </c>
      <c r="G229" s="6" t="s">
        <v>1270</v>
      </c>
      <c r="H229" s="7"/>
      <c r="I229" s="30">
        <v>45083.44153935185</v>
      </c>
      <c r="J229" s="6" t="s">
        <v>1269</v>
      </c>
      <c r="K229" s="12" t="s">
        <v>1282</v>
      </c>
      <c r="L229" s="6" t="s">
        <v>42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" t="s">
        <v>1225</v>
      </c>
      <c r="B230" s="7"/>
      <c r="C230" s="6" t="s">
        <v>22</v>
      </c>
      <c r="D230" s="6" t="s">
        <v>23</v>
      </c>
      <c r="E230" s="6" t="s">
        <v>31</v>
      </c>
      <c r="F230" s="6" t="s">
        <v>395</v>
      </c>
      <c r="G230" s="6" t="s">
        <v>1227</v>
      </c>
      <c r="H230" s="7"/>
      <c r="I230" s="30">
        <v>45083.44153935185</v>
      </c>
      <c r="J230" s="6" t="s">
        <v>1226</v>
      </c>
      <c r="K230" s="12" t="s">
        <v>1287</v>
      </c>
      <c r="L230" s="6" t="s">
        <v>42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" t="s">
        <v>1120</v>
      </c>
      <c r="B231" s="7"/>
      <c r="C231" s="6" t="s">
        <v>22</v>
      </c>
      <c r="D231" s="6" t="s">
        <v>23</v>
      </c>
      <c r="E231" s="6" t="s">
        <v>31</v>
      </c>
      <c r="F231" s="6" t="s">
        <v>395</v>
      </c>
      <c r="G231" s="6" t="s">
        <v>1122</v>
      </c>
      <c r="H231" s="7"/>
      <c r="I231" s="30">
        <v>45083.44153935185</v>
      </c>
      <c r="J231" s="6" t="s">
        <v>1121</v>
      </c>
      <c r="K231" s="12" t="s">
        <v>1289</v>
      </c>
      <c r="L231" s="6" t="s">
        <v>42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" t="s">
        <v>1135</v>
      </c>
      <c r="B232" s="7"/>
      <c r="C232" s="6" t="s">
        <v>22</v>
      </c>
      <c r="D232" s="6" t="s">
        <v>23</v>
      </c>
      <c r="E232" s="6" t="s">
        <v>31</v>
      </c>
      <c r="F232" s="6" t="s">
        <v>395</v>
      </c>
      <c r="G232" s="6" t="s">
        <v>1138</v>
      </c>
      <c r="H232" s="7"/>
      <c r="I232" s="30">
        <v>45083.44153935185</v>
      </c>
      <c r="J232" s="6" t="s">
        <v>1137</v>
      </c>
      <c r="K232" s="12" t="s">
        <v>1296</v>
      </c>
      <c r="L232" s="6" t="s">
        <v>42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" t="s">
        <v>1299</v>
      </c>
      <c r="B233" s="7"/>
      <c r="C233" s="6" t="s">
        <v>22</v>
      </c>
      <c r="D233" s="6" t="s">
        <v>23</v>
      </c>
      <c r="E233" s="6" t="s">
        <v>31</v>
      </c>
      <c r="F233" s="6" t="s">
        <v>31</v>
      </c>
      <c r="G233" s="6" t="s">
        <v>1301</v>
      </c>
      <c r="H233" s="7"/>
      <c r="I233" s="30">
        <v>45083.44153935185</v>
      </c>
      <c r="J233" s="6" t="s">
        <v>1302</v>
      </c>
      <c r="K233" s="12" t="s">
        <v>1303</v>
      </c>
      <c r="L233" s="6" t="s">
        <v>42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" t="s">
        <v>1290</v>
      </c>
      <c r="B234" s="7"/>
      <c r="C234" s="6" t="s">
        <v>22</v>
      </c>
      <c r="D234" s="6" t="s">
        <v>23</v>
      </c>
      <c r="E234" s="6" t="s">
        <v>31</v>
      </c>
      <c r="F234" s="6" t="s">
        <v>31</v>
      </c>
      <c r="G234" s="6" t="s">
        <v>1292</v>
      </c>
      <c r="H234" s="7"/>
      <c r="I234" s="30">
        <v>45083.44153935185</v>
      </c>
      <c r="J234" s="6" t="s">
        <v>1291</v>
      </c>
      <c r="K234" s="12" t="s">
        <v>1311</v>
      </c>
      <c r="L234" s="6" t="s">
        <v>42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" t="s">
        <v>1313</v>
      </c>
      <c r="B235" s="7"/>
      <c r="C235" s="6" t="s">
        <v>22</v>
      </c>
      <c r="D235" s="6" t="s">
        <v>23</v>
      </c>
      <c r="E235" s="6" t="s">
        <v>31</v>
      </c>
      <c r="F235" s="6" t="s">
        <v>31</v>
      </c>
      <c r="G235" s="6" t="s">
        <v>1317</v>
      </c>
      <c r="H235" s="7"/>
      <c r="I235" s="30">
        <v>45083.44153935185</v>
      </c>
      <c r="J235" s="6" t="s">
        <v>1318</v>
      </c>
      <c r="K235" s="12" t="s">
        <v>1319</v>
      </c>
      <c r="L235" s="6" t="s">
        <v>42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" t="s">
        <v>1323</v>
      </c>
      <c r="B236" s="7"/>
      <c r="C236" s="6" t="s">
        <v>22</v>
      </c>
      <c r="D236" s="6" t="s">
        <v>23</v>
      </c>
      <c r="E236" s="6" t="s">
        <v>31</v>
      </c>
      <c r="F236" s="6" t="s">
        <v>395</v>
      </c>
      <c r="G236" s="6" t="s">
        <v>1325</v>
      </c>
      <c r="H236" s="7"/>
      <c r="I236" s="30">
        <v>45083.44153935185</v>
      </c>
      <c r="J236" s="6" t="s">
        <v>1326</v>
      </c>
      <c r="K236" s="12" t="s">
        <v>1327</v>
      </c>
      <c r="L236" s="6" t="s">
        <v>42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" t="s">
        <v>1320</v>
      </c>
      <c r="B237" s="7"/>
      <c r="C237" s="6" t="s">
        <v>22</v>
      </c>
      <c r="D237" s="6" t="s">
        <v>23</v>
      </c>
      <c r="E237" s="6" t="s">
        <v>31</v>
      </c>
      <c r="F237" s="6" t="s">
        <v>395</v>
      </c>
      <c r="G237" s="6" t="s">
        <v>1322</v>
      </c>
      <c r="H237" s="7"/>
      <c r="I237" s="30">
        <v>45083.44153935185</v>
      </c>
      <c r="J237" s="6" t="s">
        <v>1321</v>
      </c>
      <c r="K237" s="12" t="s">
        <v>1332</v>
      </c>
      <c r="L237" s="6" t="s">
        <v>42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" t="s">
        <v>1334</v>
      </c>
      <c r="B238" s="7"/>
      <c r="C238" s="6" t="s">
        <v>22</v>
      </c>
      <c r="D238" s="6" t="s">
        <v>23</v>
      </c>
      <c r="E238" s="6" t="s">
        <v>31</v>
      </c>
      <c r="F238" s="6" t="s">
        <v>395</v>
      </c>
      <c r="G238" s="6" t="s">
        <v>1335</v>
      </c>
      <c r="H238" s="7"/>
      <c r="I238" s="30">
        <v>45083.44153935185</v>
      </c>
      <c r="J238" s="6" t="s">
        <v>1336</v>
      </c>
      <c r="K238" s="12" t="s">
        <v>1337</v>
      </c>
      <c r="L238" s="6" t="s">
        <v>42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" t="s">
        <v>1339</v>
      </c>
      <c r="B239" s="7"/>
      <c r="C239" s="6" t="s">
        <v>22</v>
      </c>
      <c r="D239" s="6" t="s">
        <v>23</v>
      </c>
      <c r="E239" s="6" t="s">
        <v>31</v>
      </c>
      <c r="F239" s="6" t="s">
        <v>395</v>
      </c>
      <c r="G239" s="6" t="s">
        <v>1340</v>
      </c>
      <c r="H239" s="7"/>
      <c r="I239" s="30">
        <v>45083.44153935185</v>
      </c>
      <c r="J239" s="6" t="s">
        <v>1341</v>
      </c>
      <c r="K239" s="12" t="s">
        <v>1342</v>
      </c>
      <c r="L239" s="6" t="s">
        <v>42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" t="s">
        <v>1343</v>
      </c>
      <c r="B240" s="7"/>
      <c r="C240" s="6" t="s">
        <v>22</v>
      </c>
      <c r="D240" s="6" t="s">
        <v>23</v>
      </c>
      <c r="E240" s="6" t="s">
        <v>31</v>
      </c>
      <c r="F240" s="6" t="s">
        <v>395</v>
      </c>
      <c r="G240" s="6" t="s">
        <v>1345</v>
      </c>
      <c r="H240" s="7"/>
      <c r="I240" s="30">
        <v>45083.44153935185</v>
      </c>
      <c r="J240" s="6" t="s">
        <v>1344</v>
      </c>
      <c r="K240" s="12" t="s">
        <v>1347</v>
      </c>
      <c r="L240" s="6" t="s">
        <v>42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" t="s">
        <v>1352</v>
      </c>
      <c r="B241" s="7"/>
      <c r="C241" s="6" t="s">
        <v>22</v>
      </c>
      <c r="D241" s="6" t="s">
        <v>23</v>
      </c>
      <c r="E241" s="6" t="s">
        <v>31</v>
      </c>
      <c r="F241" s="6" t="s">
        <v>395</v>
      </c>
      <c r="G241" s="6" t="s">
        <v>1353</v>
      </c>
      <c r="H241" s="7"/>
      <c r="I241" s="30">
        <v>45083.44153935185</v>
      </c>
      <c r="J241" s="6" t="s">
        <v>1354</v>
      </c>
      <c r="K241" s="12" t="s">
        <v>1355</v>
      </c>
      <c r="L241" s="6" t="s">
        <v>42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" t="s">
        <v>1307</v>
      </c>
      <c r="B242" s="7"/>
      <c r="C242" s="6" t="s">
        <v>22</v>
      </c>
      <c r="D242" s="6" t="s">
        <v>23</v>
      </c>
      <c r="E242" s="6" t="s">
        <v>31</v>
      </c>
      <c r="F242" s="6" t="s">
        <v>395</v>
      </c>
      <c r="G242" s="6" t="s">
        <v>1309</v>
      </c>
      <c r="H242" s="7"/>
      <c r="I242" s="30">
        <v>45083.44153935185</v>
      </c>
      <c r="J242" s="6" t="s">
        <v>1308</v>
      </c>
      <c r="K242" s="12" t="s">
        <v>1357</v>
      </c>
      <c r="L242" s="6" t="s">
        <v>42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" t="s">
        <v>1294</v>
      </c>
      <c r="B243" s="7"/>
      <c r="C243" s="6" t="s">
        <v>22</v>
      </c>
      <c r="D243" s="6" t="s">
        <v>23</v>
      </c>
      <c r="E243" s="6" t="s">
        <v>31</v>
      </c>
      <c r="F243" s="6" t="s">
        <v>395</v>
      </c>
      <c r="G243" s="6" t="s">
        <v>1297</v>
      </c>
      <c r="H243" s="7"/>
      <c r="I243" s="30">
        <v>45083.44153935185</v>
      </c>
      <c r="J243" s="6" t="s">
        <v>1295</v>
      </c>
      <c r="K243" s="12" t="s">
        <v>1362</v>
      </c>
      <c r="L243" s="6" t="s">
        <v>42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" t="s">
        <v>1328</v>
      </c>
      <c r="B244" s="7"/>
      <c r="C244" s="6" t="s">
        <v>22</v>
      </c>
      <c r="D244" s="6" t="s">
        <v>23</v>
      </c>
      <c r="E244" s="6" t="s">
        <v>31</v>
      </c>
      <c r="F244" s="6" t="s">
        <v>395</v>
      </c>
      <c r="G244" s="6" t="s">
        <v>1330</v>
      </c>
      <c r="H244" s="7"/>
      <c r="I244" s="30">
        <v>45083.44153935185</v>
      </c>
      <c r="J244" s="6" t="s">
        <v>1329</v>
      </c>
      <c r="K244" s="12" t="s">
        <v>1367</v>
      </c>
      <c r="L244" s="6" t="s">
        <v>42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" t="s">
        <v>1283</v>
      </c>
      <c r="B245" s="7"/>
      <c r="C245" s="6" t="s">
        <v>22</v>
      </c>
      <c r="D245" s="6" t="s">
        <v>23</v>
      </c>
      <c r="E245" s="6" t="s">
        <v>31</v>
      </c>
      <c r="F245" s="6" t="s">
        <v>395</v>
      </c>
      <c r="G245" s="6" t="s">
        <v>1285</v>
      </c>
      <c r="H245" s="7"/>
      <c r="I245" s="30">
        <v>45083.44153935185</v>
      </c>
      <c r="J245" s="6" t="s">
        <v>1284</v>
      </c>
      <c r="K245" s="12" t="s">
        <v>1369</v>
      </c>
      <c r="L245" s="6" t="s">
        <v>42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" t="s">
        <v>1371</v>
      </c>
      <c r="B246" s="7"/>
      <c r="C246" s="6" t="s">
        <v>22</v>
      </c>
      <c r="D246" s="6" t="s">
        <v>23</v>
      </c>
      <c r="E246" s="6" t="s">
        <v>31</v>
      </c>
      <c r="F246" s="6" t="s">
        <v>31</v>
      </c>
      <c r="G246" s="6" t="s">
        <v>1372</v>
      </c>
      <c r="H246" s="7"/>
      <c r="I246" s="30">
        <v>45083.44153935185</v>
      </c>
      <c r="J246" s="6" t="s">
        <v>1373</v>
      </c>
      <c r="K246" s="12" t="s">
        <v>1374</v>
      </c>
      <c r="L246" s="6" t="s">
        <v>42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" t="s">
        <v>1376</v>
      </c>
      <c r="B247" s="7"/>
      <c r="C247" s="6" t="s">
        <v>22</v>
      </c>
      <c r="D247" s="6" t="s">
        <v>23</v>
      </c>
      <c r="E247" s="6" t="s">
        <v>31</v>
      </c>
      <c r="F247" s="6" t="s">
        <v>395</v>
      </c>
      <c r="G247" s="6" t="s">
        <v>1377</v>
      </c>
      <c r="H247" s="7"/>
      <c r="I247" s="30">
        <v>45083.44153935185</v>
      </c>
      <c r="J247" s="6" t="s">
        <v>1378</v>
      </c>
      <c r="K247" s="12" t="s">
        <v>1379</v>
      </c>
      <c r="L247" s="6" t="s">
        <v>42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" t="s">
        <v>1381</v>
      </c>
      <c r="B248" s="7"/>
      <c r="C248" s="6" t="s">
        <v>22</v>
      </c>
      <c r="D248" s="6" t="s">
        <v>23</v>
      </c>
      <c r="E248" s="6" t="s">
        <v>31</v>
      </c>
      <c r="F248" s="6" t="s">
        <v>395</v>
      </c>
      <c r="G248" s="6" t="s">
        <v>1382</v>
      </c>
      <c r="H248" s="7"/>
      <c r="I248" s="30">
        <v>45083.44153935185</v>
      </c>
      <c r="J248" s="6" t="s">
        <v>1383</v>
      </c>
      <c r="K248" s="12" t="s">
        <v>1384</v>
      </c>
      <c r="L248" s="6" t="s">
        <v>42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" t="s">
        <v>1386</v>
      </c>
      <c r="B249" s="7"/>
      <c r="C249" s="6" t="s">
        <v>22</v>
      </c>
      <c r="D249" s="6" t="s">
        <v>23</v>
      </c>
      <c r="E249" s="6" t="s">
        <v>31</v>
      </c>
      <c r="F249" s="6" t="s">
        <v>395</v>
      </c>
      <c r="G249" s="6" t="s">
        <v>1387</v>
      </c>
      <c r="H249" s="7"/>
      <c r="I249" s="30">
        <v>45083.44153935185</v>
      </c>
      <c r="J249" s="6" t="s">
        <v>1388</v>
      </c>
      <c r="K249" s="12" t="s">
        <v>1389</v>
      </c>
      <c r="L249" s="6" t="s">
        <v>42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" t="s">
        <v>1392</v>
      </c>
      <c r="B250" s="7"/>
      <c r="C250" s="6" t="s">
        <v>22</v>
      </c>
      <c r="D250" s="6" t="s">
        <v>23</v>
      </c>
      <c r="E250" s="6" t="s">
        <v>31</v>
      </c>
      <c r="F250" s="6" t="s">
        <v>395</v>
      </c>
      <c r="G250" s="6" t="s">
        <v>1393</v>
      </c>
      <c r="H250" s="7"/>
      <c r="I250" s="30">
        <v>45083.44153935185</v>
      </c>
      <c r="J250" s="6" t="s">
        <v>1394</v>
      </c>
      <c r="K250" s="12" t="s">
        <v>1395</v>
      </c>
      <c r="L250" s="6" t="s">
        <v>42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" t="s">
        <v>1400</v>
      </c>
      <c r="B251" s="7"/>
      <c r="C251" s="6" t="s">
        <v>22</v>
      </c>
      <c r="D251" s="6" t="s">
        <v>23</v>
      </c>
      <c r="E251" s="6" t="s">
        <v>31</v>
      </c>
      <c r="F251" s="6" t="s">
        <v>395</v>
      </c>
      <c r="G251" s="6" t="s">
        <v>1401</v>
      </c>
      <c r="H251" s="7"/>
      <c r="I251" s="30">
        <v>45083.44153935185</v>
      </c>
      <c r="J251" s="6" t="s">
        <v>1402</v>
      </c>
      <c r="K251" s="12" t="s">
        <v>1404</v>
      </c>
      <c r="L251" s="6" t="s">
        <v>1408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" t="s">
        <v>1409</v>
      </c>
      <c r="B252" s="7"/>
      <c r="C252" s="6" t="s">
        <v>22</v>
      </c>
      <c r="D252" s="6" t="s">
        <v>23</v>
      </c>
      <c r="E252" s="6" t="s">
        <v>31</v>
      </c>
      <c r="F252" s="6" t="s">
        <v>31</v>
      </c>
      <c r="G252" s="6" t="s">
        <v>1410</v>
      </c>
      <c r="H252" s="7"/>
      <c r="I252" s="30">
        <v>45083.44153935185</v>
      </c>
      <c r="J252" s="6" t="s">
        <v>1411</v>
      </c>
      <c r="K252" s="12" t="s">
        <v>1412</v>
      </c>
      <c r="L252" s="6" t="s">
        <v>42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" t="s">
        <v>1414</v>
      </c>
      <c r="B253" s="7"/>
      <c r="C253" s="6" t="s">
        <v>22</v>
      </c>
      <c r="D253" s="6" t="s">
        <v>23</v>
      </c>
      <c r="E253" s="6" t="s">
        <v>31</v>
      </c>
      <c r="F253" s="6" t="s">
        <v>31</v>
      </c>
      <c r="G253" s="6" t="s">
        <v>1415</v>
      </c>
      <c r="H253" s="7"/>
      <c r="I253" s="30">
        <v>45083.44153935185</v>
      </c>
      <c r="J253" s="6" t="s">
        <v>1416</v>
      </c>
      <c r="K253" s="12" t="s">
        <v>1417</v>
      </c>
      <c r="L253" s="6" t="s">
        <v>42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" t="s">
        <v>1312</v>
      </c>
      <c r="B254" s="7"/>
      <c r="C254" s="6" t="s">
        <v>22</v>
      </c>
      <c r="D254" s="6" t="s">
        <v>23</v>
      </c>
      <c r="E254" s="6" t="s">
        <v>31</v>
      </c>
      <c r="F254" s="6" t="s">
        <v>31</v>
      </c>
      <c r="G254" s="6" t="s">
        <v>1315</v>
      </c>
      <c r="H254" s="7"/>
      <c r="I254" s="30">
        <v>45083.44153935185</v>
      </c>
      <c r="J254" s="6" t="s">
        <v>1314</v>
      </c>
      <c r="K254" s="12" t="s">
        <v>1422</v>
      </c>
      <c r="L254" s="6" t="s">
        <v>42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" t="s">
        <v>1193</v>
      </c>
      <c r="B255" s="7"/>
      <c r="C255" s="6" t="s">
        <v>22</v>
      </c>
      <c r="D255" s="6" t="s">
        <v>23</v>
      </c>
      <c r="E255" s="6" t="s">
        <v>31</v>
      </c>
      <c r="F255" s="6" t="s">
        <v>395</v>
      </c>
      <c r="G255" s="6" t="s">
        <v>1195</v>
      </c>
      <c r="H255" s="7"/>
      <c r="I255" s="30">
        <v>45083.44153935185</v>
      </c>
      <c r="J255" s="6" t="s">
        <v>1194</v>
      </c>
      <c r="K255" s="12" t="s">
        <v>1424</v>
      </c>
      <c r="L255" s="6" t="s">
        <v>42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" t="s">
        <v>1217</v>
      </c>
      <c r="B256" s="7"/>
      <c r="C256" s="6" t="s">
        <v>22</v>
      </c>
      <c r="D256" s="6" t="s">
        <v>23</v>
      </c>
      <c r="E256" s="6" t="s">
        <v>31</v>
      </c>
      <c r="F256" s="6" t="s">
        <v>395</v>
      </c>
      <c r="G256" s="6" t="s">
        <v>1219</v>
      </c>
      <c r="H256" s="7"/>
      <c r="I256" s="30">
        <v>45083.44153935185</v>
      </c>
      <c r="J256" s="6" t="s">
        <v>1218</v>
      </c>
      <c r="K256" s="12" t="s">
        <v>1426</v>
      </c>
      <c r="L256" s="6" t="s">
        <v>42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" t="s">
        <v>1278</v>
      </c>
      <c r="B257" s="7"/>
      <c r="C257" s="6" t="s">
        <v>22</v>
      </c>
      <c r="D257" s="6" t="s">
        <v>23</v>
      </c>
      <c r="E257" s="6" t="s">
        <v>31</v>
      </c>
      <c r="F257" s="6" t="s">
        <v>395</v>
      </c>
      <c r="G257" s="6" t="s">
        <v>1280</v>
      </c>
      <c r="H257" s="7"/>
      <c r="I257" s="30">
        <v>45083.44153935185</v>
      </c>
      <c r="J257" s="6" t="s">
        <v>1279</v>
      </c>
      <c r="K257" s="12" t="s">
        <v>1429</v>
      </c>
      <c r="L257" s="6" t="s">
        <v>42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" t="s">
        <v>1273</v>
      </c>
      <c r="B258" s="7"/>
      <c r="C258" s="6" t="s">
        <v>22</v>
      </c>
      <c r="D258" s="6" t="s">
        <v>23</v>
      </c>
      <c r="E258" s="6" t="s">
        <v>31</v>
      </c>
      <c r="F258" s="6" t="s">
        <v>395</v>
      </c>
      <c r="G258" s="6" t="s">
        <v>1275</v>
      </c>
      <c r="H258" s="7"/>
      <c r="I258" s="30">
        <v>45083.44153935185</v>
      </c>
      <c r="J258" s="6" t="s">
        <v>1274</v>
      </c>
      <c r="K258" s="12" t="s">
        <v>1434</v>
      </c>
      <c r="L258" s="6" t="s">
        <v>42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" t="s">
        <v>1430</v>
      </c>
      <c r="B259" s="7"/>
      <c r="C259" s="6" t="s">
        <v>22</v>
      </c>
      <c r="D259" s="6" t="s">
        <v>23</v>
      </c>
      <c r="E259" s="6" t="s">
        <v>31</v>
      </c>
      <c r="F259" s="6" t="s">
        <v>395</v>
      </c>
      <c r="G259" s="6" t="s">
        <v>1432</v>
      </c>
      <c r="H259" s="7"/>
      <c r="I259" s="30">
        <v>45083.44153935185</v>
      </c>
      <c r="J259" s="6" t="s">
        <v>1431</v>
      </c>
      <c r="K259" s="12" t="s">
        <v>1439</v>
      </c>
      <c r="L259" s="6" t="s">
        <v>42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" t="s">
        <v>1255</v>
      </c>
      <c r="B260" s="7"/>
      <c r="C260" s="6" t="s">
        <v>22</v>
      </c>
      <c r="D260" s="6" t="s">
        <v>23</v>
      </c>
      <c r="E260" s="6" t="s">
        <v>31</v>
      </c>
      <c r="F260" s="6" t="s">
        <v>31</v>
      </c>
      <c r="G260" s="6" t="s">
        <v>1257</v>
      </c>
      <c r="H260" s="7"/>
      <c r="I260" s="30">
        <v>45083.44153935185</v>
      </c>
      <c r="J260" s="6" t="s">
        <v>1256</v>
      </c>
      <c r="K260" s="12" t="s">
        <v>1441</v>
      </c>
      <c r="L260" s="6" t="s">
        <v>42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" t="s">
        <v>1250</v>
      </c>
      <c r="B261" s="7"/>
      <c r="C261" s="6" t="s">
        <v>22</v>
      </c>
      <c r="D261" s="6" t="s">
        <v>23</v>
      </c>
      <c r="E261" s="6" t="s">
        <v>31</v>
      </c>
      <c r="F261" s="6" t="s">
        <v>395</v>
      </c>
      <c r="G261" s="6" t="s">
        <v>1252</v>
      </c>
      <c r="H261" s="7"/>
      <c r="I261" s="30">
        <v>45083.44153935185</v>
      </c>
      <c r="J261" s="6" t="s">
        <v>1251</v>
      </c>
      <c r="K261" s="12" t="s">
        <v>1444</v>
      </c>
      <c r="L261" s="6" t="s">
        <v>42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" t="s">
        <v>1146</v>
      </c>
      <c r="B262" s="7"/>
      <c r="C262" s="6" t="s">
        <v>22</v>
      </c>
      <c r="D262" s="6" t="s">
        <v>23</v>
      </c>
      <c r="E262" s="6" t="s">
        <v>31</v>
      </c>
      <c r="F262" s="6" t="s">
        <v>395</v>
      </c>
      <c r="G262" s="6" t="s">
        <v>1149</v>
      </c>
      <c r="H262" s="7"/>
      <c r="I262" s="30">
        <v>45083.44153935185</v>
      </c>
      <c r="J262" s="6" t="s">
        <v>1148</v>
      </c>
      <c r="K262" s="12" t="s">
        <v>1448</v>
      </c>
      <c r="L262" s="6" t="s">
        <v>42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" t="s">
        <v>1181</v>
      </c>
      <c r="B263" s="7"/>
      <c r="C263" s="6" t="s">
        <v>22</v>
      </c>
      <c r="D263" s="6" t="s">
        <v>23</v>
      </c>
      <c r="E263" s="6" t="s">
        <v>31</v>
      </c>
      <c r="F263" s="6" t="s">
        <v>395</v>
      </c>
      <c r="G263" s="6" t="s">
        <v>1183</v>
      </c>
      <c r="H263" s="7"/>
      <c r="I263" s="30">
        <v>45083.44153935185</v>
      </c>
      <c r="J263" s="6" t="s">
        <v>1182</v>
      </c>
      <c r="K263" s="12" t="s">
        <v>1450</v>
      </c>
      <c r="L263" s="6" t="s">
        <v>42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" t="s">
        <v>1233</v>
      </c>
      <c r="B264" s="7"/>
      <c r="C264" s="6" t="s">
        <v>22</v>
      </c>
      <c r="D264" s="6" t="s">
        <v>23</v>
      </c>
      <c r="E264" s="6" t="s">
        <v>31</v>
      </c>
      <c r="F264" s="6" t="s">
        <v>395</v>
      </c>
      <c r="G264" s="6" t="s">
        <v>1235</v>
      </c>
      <c r="H264" s="7"/>
      <c r="I264" s="30">
        <v>45083.44153935185</v>
      </c>
      <c r="J264" s="6" t="s">
        <v>1234</v>
      </c>
      <c r="K264" s="12" t="s">
        <v>1453</v>
      </c>
      <c r="L264" s="6" t="s">
        <v>42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" t="s">
        <v>1176</v>
      </c>
      <c r="B265" s="7"/>
      <c r="C265" s="6" t="s">
        <v>22</v>
      </c>
      <c r="D265" s="6" t="s">
        <v>23</v>
      </c>
      <c r="E265" s="6" t="s">
        <v>31</v>
      </c>
      <c r="F265" s="6" t="s">
        <v>395</v>
      </c>
      <c r="G265" s="6" t="s">
        <v>1178</v>
      </c>
      <c r="H265" s="7"/>
      <c r="I265" s="30">
        <v>45083.44153935185</v>
      </c>
      <c r="J265" s="6" t="s">
        <v>1177</v>
      </c>
      <c r="K265" s="12" t="s">
        <v>1455</v>
      </c>
      <c r="L265" s="6" t="s">
        <v>42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" t="s">
        <v>1161</v>
      </c>
      <c r="B266" s="7"/>
      <c r="C266" s="6" t="s">
        <v>22</v>
      </c>
      <c r="D266" s="6" t="s">
        <v>23</v>
      </c>
      <c r="E266" s="6" t="s">
        <v>31</v>
      </c>
      <c r="F266" s="6" t="s">
        <v>395</v>
      </c>
      <c r="G266" s="6" t="s">
        <v>1163</v>
      </c>
      <c r="H266" s="7"/>
      <c r="I266" s="30">
        <v>45083.44153935185</v>
      </c>
      <c r="J266" s="6" t="s">
        <v>1162</v>
      </c>
      <c r="K266" s="12" t="s">
        <v>1460</v>
      </c>
      <c r="L266" s="6" t="s">
        <v>42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" t="s">
        <v>1156</v>
      </c>
      <c r="B267" s="7"/>
      <c r="C267" s="6" t="s">
        <v>22</v>
      </c>
      <c r="D267" s="6" t="s">
        <v>23</v>
      </c>
      <c r="E267" s="6" t="s">
        <v>31</v>
      </c>
      <c r="F267" s="6" t="s">
        <v>395</v>
      </c>
      <c r="G267" s="6" t="s">
        <v>1158</v>
      </c>
      <c r="H267" s="7"/>
      <c r="I267" s="30">
        <v>45083.44153935185</v>
      </c>
      <c r="J267" s="6" t="s">
        <v>1157</v>
      </c>
      <c r="K267" s="12" t="s">
        <v>1465</v>
      </c>
      <c r="L267" s="6" t="s">
        <v>42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" t="s">
        <v>1131</v>
      </c>
      <c r="B268" s="7"/>
      <c r="C268" s="6" t="s">
        <v>22</v>
      </c>
      <c r="D268" s="6" t="s">
        <v>23</v>
      </c>
      <c r="E268" s="6" t="s">
        <v>31</v>
      </c>
      <c r="F268" s="6" t="s">
        <v>31</v>
      </c>
      <c r="G268" s="6" t="s">
        <v>1133</v>
      </c>
      <c r="H268" s="7"/>
      <c r="I268" s="30">
        <v>45083.44153935185</v>
      </c>
      <c r="J268" s="6" t="s">
        <v>1132</v>
      </c>
      <c r="K268" s="12" t="s">
        <v>1467</v>
      </c>
      <c r="L268" s="6" t="s">
        <v>42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" t="s">
        <v>1171</v>
      </c>
      <c r="B269" s="7"/>
      <c r="C269" s="6" t="s">
        <v>22</v>
      </c>
      <c r="D269" s="6" t="s">
        <v>23</v>
      </c>
      <c r="E269" s="6" t="s">
        <v>31</v>
      </c>
      <c r="F269" s="6" t="s">
        <v>31</v>
      </c>
      <c r="G269" s="6" t="s">
        <v>1173</v>
      </c>
      <c r="H269" s="7"/>
      <c r="I269" s="30">
        <v>45083.44153935185</v>
      </c>
      <c r="J269" s="6" t="s">
        <v>1172</v>
      </c>
      <c r="K269" s="12" t="s">
        <v>1469</v>
      </c>
      <c r="L269" s="6" t="s">
        <v>42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" t="s">
        <v>1187</v>
      </c>
      <c r="B270" s="7"/>
      <c r="C270" s="6" t="s">
        <v>22</v>
      </c>
      <c r="D270" s="6" t="s">
        <v>23</v>
      </c>
      <c r="E270" s="6" t="s">
        <v>31</v>
      </c>
      <c r="F270" s="6" t="s">
        <v>395</v>
      </c>
      <c r="G270" s="6" t="s">
        <v>1189</v>
      </c>
      <c r="H270" s="7"/>
      <c r="I270" s="30">
        <v>45083.44153935185</v>
      </c>
      <c r="J270" s="6" t="s">
        <v>1188</v>
      </c>
      <c r="K270" s="12" t="s">
        <v>1471</v>
      </c>
      <c r="L270" s="6" t="s">
        <v>42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" t="s">
        <v>1456</v>
      </c>
      <c r="B271" s="7"/>
      <c r="C271" s="6" t="s">
        <v>22</v>
      </c>
      <c r="D271" s="6" t="s">
        <v>23</v>
      </c>
      <c r="E271" s="6" t="s">
        <v>31</v>
      </c>
      <c r="F271" s="6" t="s">
        <v>395</v>
      </c>
      <c r="G271" s="6" t="s">
        <v>1458</v>
      </c>
      <c r="H271" s="7"/>
      <c r="I271" s="30">
        <v>45083.44153935185</v>
      </c>
      <c r="J271" s="6" t="s">
        <v>1457</v>
      </c>
      <c r="K271" s="12" t="s">
        <v>1473</v>
      </c>
      <c r="L271" s="6" t="s">
        <v>42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" t="s">
        <v>1418</v>
      </c>
      <c r="B272" s="7"/>
      <c r="C272" s="6" t="s">
        <v>22</v>
      </c>
      <c r="D272" s="6" t="s">
        <v>23</v>
      </c>
      <c r="E272" s="6" t="s">
        <v>31</v>
      </c>
      <c r="F272" s="6" t="s">
        <v>31</v>
      </c>
      <c r="G272" s="6" t="s">
        <v>1420</v>
      </c>
      <c r="H272" s="7"/>
      <c r="I272" s="30">
        <v>45083.44153935185</v>
      </c>
      <c r="J272" s="6" t="s">
        <v>1419</v>
      </c>
      <c r="K272" s="12" t="s">
        <v>1477</v>
      </c>
      <c r="L272" s="6" t="s">
        <v>42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" t="s">
        <v>1396</v>
      </c>
      <c r="B273" s="7"/>
      <c r="C273" s="6" t="s">
        <v>22</v>
      </c>
      <c r="D273" s="6" t="s">
        <v>23</v>
      </c>
      <c r="E273" s="6" t="s">
        <v>31</v>
      </c>
      <c r="F273" s="6" t="s">
        <v>395</v>
      </c>
      <c r="G273" s="6" t="s">
        <v>1398</v>
      </c>
      <c r="H273" s="7"/>
      <c r="I273" s="30">
        <v>45083.44153935185</v>
      </c>
      <c r="J273" s="6" t="s">
        <v>1397</v>
      </c>
      <c r="K273" s="12" t="s">
        <v>1482</v>
      </c>
      <c r="L273" s="6" t="s">
        <v>42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" t="s">
        <v>1358</v>
      </c>
      <c r="B274" s="7"/>
      <c r="C274" s="6" t="s">
        <v>22</v>
      </c>
      <c r="D274" s="6" t="s">
        <v>23</v>
      </c>
      <c r="E274" s="6" t="s">
        <v>31</v>
      </c>
      <c r="F274" s="6" t="s">
        <v>395</v>
      </c>
      <c r="G274" s="6" t="s">
        <v>1360</v>
      </c>
      <c r="H274" s="7"/>
      <c r="I274" s="30">
        <v>45083.44153935185</v>
      </c>
      <c r="J274" s="6" t="s">
        <v>1359</v>
      </c>
      <c r="K274" s="12" t="s">
        <v>1483</v>
      </c>
      <c r="L274" s="6" t="s">
        <v>42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" t="s">
        <v>1348</v>
      </c>
      <c r="B275" s="7"/>
      <c r="C275" s="6" t="s">
        <v>22</v>
      </c>
      <c r="D275" s="6" t="s">
        <v>23</v>
      </c>
      <c r="E275" s="6" t="s">
        <v>31</v>
      </c>
      <c r="F275" s="6" t="s">
        <v>395</v>
      </c>
      <c r="G275" s="6" t="s">
        <v>1350</v>
      </c>
      <c r="H275" s="7"/>
      <c r="I275" s="30">
        <v>45083.44153935185</v>
      </c>
      <c r="J275" s="6" t="s">
        <v>1349</v>
      </c>
      <c r="K275" s="12" t="s">
        <v>1484</v>
      </c>
      <c r="L275" s="6" t="s">
        <v>42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" t="s">
        <v>1209</v>
      </c>
      <c r="B276" s="7"/>
      <c r="C276" s="6" t="s">
        <v>22</v>
      </c>
      <c r="D276" s="6" t="s">
        <v>23</v>
      </c>
      <c r="E276" s="6" t="s">
        <v>31</v>
      </c>
      <c r="F276" s="6" t="s">
        <v>395</v>
      </c>
      <c r="G276" s="6" t="s">
        <v>1211</v>
      </c>
      <c r="H276" s="7"/>
      <c r="I276" s="30">
        <v>45083.44153935185</v>
      </c>
      <c r="J276" s="6" t="s">
        <v>1210</v>
      </c>
      <c r="K276" s="12" t="s">
        <v>1485</v>
      </c>
      <c r="L276" s="6" t="s">
        <v>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" t="s">
        <v>1363</v>
      </c>
      <c r="B277" s="7"/>
      <c r="C277" s="6" t="s">
        <v>22</v>
      </c>
      <c r="D277" s="6" t="s">
        <v>23</v>
      </c>
      <c r="E277" s="6" t="s">
        <v>31</v>
      </c>
      <c r="F277" s="6" t="s">
        <v>395</v>
      </c>
      <c r="G277" s="6" t="s">
        <v>1365</v>
      </c>
      <c r="H277" s="7"/>
      <c r="I277" s="30">
        <v>45083.44153935185</v>
      </c>
      <c r="J277" s="6" t="s">
        <v>1364</v>
      </c>
      <c r="K277" s="12" t="s">
        <v>1486</v>
      </c>
      <c r="L277" s="6" t="s">
        <v>42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" t="s">
        <v>1435</v>
      </c>
      <c r="B278" s="7"/>
      <c r="C278" s="6" t="s">
        <v>22</v>
      </c>
      <c r="D278" s="6" t="s">
        <v>23</v>
      </c>
      <c r="E278" s="6" t="s">
        <v>31</v>
      </c>
      <c r="F278" s="6" t="s">
        <v>395</v>
      </c>
      <c r="G278" s="6" t="s">
        <v>1437</v>
      </c>
      <c r="H278" s="7"/>
      <c r="I278" s="30">
        <v>45083.44153935185</v>
      </c>
      <c r="J278" s="6" t="s">
        <v>1436</v>
      </c>
      <c r="K278" s="12" t="s">
        <v>1488</v>
      </c>
      <c r="L278" s="6" t="s">
        <v>42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" t="s">
        <v>1443</v>
      </c>
      <c r="B279" s="7"/>
      <c r="C279" s="6" t="s">
        <v>22</v>
      </c>
      <c r="D279" s="6" t="s">
        <v>23</v>
      </c>
      <c r="E279" s="6" t="s">
        <v>31</v>
      </c>
      <c r="F279" s="6" t="s">
        <v>395</v>
      </c>
      <c r="G279" s="6" t="s">
        <v>1446</v>
      </c>
      <c r="H279" s="7"/>
      <c r="I279" s="30">
        <v>45083.44153935185</v>
      </c>
      <c r="J279" s="6" t="s">
        <v>1445</v>
      </c>
      <c r="K279" s="12" t="s">
        <v>1489</v>
      </c>
      <c r="L279" s="6" t="s">
        <v>42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" t="s">
        <v>1108</v>
      </c>
      <c r="B280" s="7"/>
      <c r="C280" s="6" t="s">
        <v>22</v>
      </c>
      <c r="D280" s="6" t="s">
        <v>23</v>
      </c>
      <c r="E280" s="6" t="s">
        <v>31</v>
      </c>
      <c r="F280" s="6" t="s">
        <v>31</v>
      </c>
      <c r="G280" s="6" t="s">
        <v>1111</v>
      </c>
      <c r="H280" s="7"/>
      <c r="I280" s="30">
        <v>45083.44153935185</v>
      </c>
      <c r="J280" s="6" t="s">
        <v>1110</v>
      </c>
      <c r="K280" s="12" t="s">
        <v>1490</v>
      </c>
      <c r="L280" s="6" t="s">
        <v>42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" t="s">
        <v>1141</v>
      </c>
      <c r="B281" s="7"/>
      <c r="C281" s="6" t="s">
        <v>22</v>
      </c>
      <c r="D281" s="6" t="s">
        <v>23</v>
      </c>
      <c r="E281" s="6" t="s">
        <v>31</v>
      </c>
      <c r="F281" s="6" t="s">
        <v>395</v>
      </c>
      <c r="G281" s="6" t="s">
        <v>1143</v>
      </c>
      <c r="H281" s="7"/>
      <c r="I281" s="30">
        <v>45195.47164351852</v>
      </c>
      <c r="J281" s="6" t="s">
        <v>1142</v>
      </c>
      <c r="K281" s="12" t="s">
        <v>1491</v>
      </c>
      <c r="L281" s="6" t="s">
        <v>42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" t="s">
        <v>1166</v>
      </c>
      <c r="B282" s="7"/>
      <c r="C282" s="6" t="s">
        <v>22</v>
      </c>
      <c r="D282" s="6" t="s">
        <v>23</v>
      </c>
      <c r="E282" s="6" t="s">
        <v>31</v>
      </c>
      <c r="F282" s="6" t="s">
        <v>31</v>
      </c>
      <c r="G282" s="6" t="s">
        <v>1168</v>
      </c>
      <c r="H282" s="7"/>
      <c r="I282" s="30">
        <v>45195.47164351852</v>
      </c>
      <c r="J282" s="6" t="s">
        <v>1167</v>
      </c>
      <c r="K282" s="12" t="s">
        <v>1492</v>
      </c>
      <c r="L282" s="6" t="s">
        <v>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" t="s">
        <v>1263</v>
      </c>
      <c r="B283" s="7"/>
      <c r="C283" s="6" t="s">
        <v>22</v>
      </c>
      <c r="D283" s="6" t="s">
        <v>23</v>
      </c>
      <c r="E283" s="6" t="s">
        <v>31</v>
      </c>
      <c r="F283" s="6" t="s">
        <v>395</v>
      </c>
      <c r="G283" s="6" t="s">
        <v>1265</v>
      </c>
      <c r="H283" s="7"/>
      <c r="I283" s="30">
        <v>45195.47164351852</v>
      </c>
      <c r="J283" s="6" t="s">
        <v>1264</v>
      </c>
      <c r="K283" s="12" t="s">
        <v>1495</v>
      </c>
      <c r="L283" s="6" t="s">
        <v>42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" t="s">
        <v>1201</v>
      </c>
      <c r="B284" s="7"/>
      <c r="C284" s="6" t="s">
        <v>22</v>
      </c>
      <c r="D284" s="6" t="s">
        <v>23</v>
      </c>
      <c r="E284" s="6" t="s">
        <v>31</v>
      </c>
      <c r="F284" s="6" t="s">
        <v>395</v>
      </c>
      <c r="G284" s="6" t="s">
        <v>1203</v>
      </c>
      <c r="H284" s="7"/>
      <c r="I284" s="30">
        <v>45195.47164351852</v>
      </c>
      <c r="J284" s="6" t="s">
        <v>1202</v>
      </c>
      <c r="K284" s="12" t="s">
        <v>1496</v>
      </c>
      <c r="L284" s="6" t="s">
        <v>42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" t="s">
        <v>1472</v>
      </c>
      <c r="B285" s="7"/>
      <c r="C285" s="6" t="s">
        <v>22</v>
      </c>
      <c r="D285" s="6" t="s">
        <v>23</v>
      </c>
      <c r="E285" s="6" t="s">
        <v>31</v>
      </c>
      <c r="F285" s="6" t="s">
        <v>31</v>
      </c>
      <c r="G285" s="6" t="s">
        <v>1475</v>
      </c>
      <c r="H285" s="7"/>
      <c r="I285" s="30">
        <v>45705.50732638889</v>
      </c>
      <c r="J285" s="6" t="s">
        <v>1474</v>
      </c>
      <c r="K285" s="12" t="s">
        <v>1497</v>
      </c>
      <c r="L285" s="6" t="s">
        <v>42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" t="s">
        <v>1461</v>
      </c>
      <c r="B286" s="7"/>
      <c r="C286" s="6" t="s">
        <v>22</v>
      </c>
      <c r="D286" s="6" t="s">
        <v>23</v>
      </c>
      <c r="E286" s="6" t="s">
        <v>31</v>
      </c>
      <c r="F286" s="6" t="s">
        <v>31</v>
      </c>
      <c r="G286" s="6" t="s">
        <v>1463</v>
      </c>
      <c r="H286" s="7"/>
      <c r="I286" s="30">
        <v>45705.50732638889</v>
      </c>
      <c r="J286" s="6" t="s">
        <v>1462</v>
      </c>
      <c r="K286" s="12" t="s">
        <v>1498</v>
      </c>
      <c r="L286" s="6" t="s">
        <v>42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" t="s">
        <v>1300</v>
      </c>
      <c r="B287" s="7"/>
      <c r="C287" s="6" t="s">
        <v>22</v>
      </c>
      <c r="D287" s="6" t="s">
        <v>23</v>
      </c>
      <c r="E287" s="6" t="s">
        <v>31</v>
      </c>
      <c r="F287" s="6" t="s">
        <v>395</v>
      </c>
      <c r="G287" s="6" t="s">
        <v>1305</v>
      </c>
      <c r="H287" s="7"/>
      <c r="I287" s="30">
        <v>45705.50732638889</v>
      </c>
      <c r="J287" s="6" t="s">
        <v>1304</v>
      </c>
      <c r="K287" s="12" t="s">
        <v>1499</v>
      </c>
      <c r="L287" s="6" t="s">
        <v>42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" t="s">
        <v>1403</v>
      </c>
      <c r="B288" s="7"/>
      <c r="C288" s="6" t="s">
        <v>22</v>
      </c>
      <c r="D288" s="6" t="s">
        <v>23</v>
      </c>
      <c r="E288" s="6" t="s">
        <v>31</v>
      </c>
      <c r="F288" s="6" t="s">
        <v>395</v>
      </c>
      <c r="G288" s="6" t="s">
        <v>1406</v>
      </c>
      <c r="H288" s="7"/>
      <c r="I288" s="30">
        <v>45705.50732638889</v>
      </c>
      <c r="J288" s="6" t="s">
        <v>1405</v>
      </c>
      <c r="K288" s="12" t="s">
        <v>1500</v>
      </c>
      <c r="L288" s="6" t="s">
        <v>42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</hyperlinks>
  <drawing r:id="rId28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15</v>
      </c>
      <c r="N1" s="1" t="s">
        <v>16</v>
      </c>
      <c r="O1" s="1" t="s">
        <v>17</v>
      </c>
    </row>
    <row r="2">
      <c r="A2" s="3" t="s">
        <v>19</v>
      </c>
      <c r="B2" s="3" t="s">
        <v>22</v>
      </c>
      <c r="C2" s="3" t="s">
        <v>23</v>
      </c>
      <c r="D2" s="3" t="s">
        <v>25</v>
      </c>
      <c r="E2" s="5">
        <v>46142.75625</v>
      </c>
      <c r="F2" s="3" t="s">
        <v>26</v>
      </c>
      <c r="G2" s="3" t="s">
        <v>27</v>
      </c>
      <c r="H2" s="3" t="s">
        <v>28</v>
      </c>
      <c r="I2" s="9" t="s">
        <v>29</v>
      </c>
      <c r="J2" s="10">
        <v>8102025.0</v>
      </c>
      <c r="K2" s="10">
        <v>2.3042012E7</v>
      </c>
      <c r="L2" s="3" t="s">
        <v>35</v>
      </c>
      <c r="M2" s="3" t="s">
        <v>36</v>
      </c>
      <c r="N2" s="11">
        <v>865.0</v>
      </c>
      <c r="O2" s="3" t="s">
        <v>37</v>
      </c>
    </row>
    <row r="3">
      <c r="A3" s="3" t="s">
        <v>38</v>
      </c>
      <c r="B3" s="3" t="s">
        <v>22</v>
      </c>
      <c r="C3" s="3" t="s">
        <v>23</v>
      </c>
      <c r="D3" s="3" t="s">
        <v>25</v>
      </c>
      <c r="E3" s="5">
        <v>46142.75625</v>
      </c>
      <c r="F3" s="3" t="s">
        <v>26</v>
      </c>
      <c r="G3" s="3" t="s">
        <v>39</v>
      </c>
      <c r="H3" s="3" t="s">
        <v>40</v>
      </c>
      <c r="I3" s="9" t="s">
        <v>41</v>
      </c>
      <c r="J3" s="10">
        <v>8102025.0</v>
      </c>
      <c r="K3" s="10">
        <v>9052012.0</v>
      </c>
      <c r="L3" s="3" t="s">
        <v>35</v>
      </c>
      <c r="M3" s="3" t="s">
        <v>36</v>
      </c>
      <c r="N3" s="11">
        <v>865.0</v>
      </c>
      <c r="O3" s="3" t="s">
        <v>37</v>
      </c>
    </row>
    <row r="4">
      <c r="A4" s="3" t="s">
        <v>47</v>
      </c>
      <c r="B4" s="3" t="s">
        <v>22</v>
      </c>
      <c r="C4" s="3" t="s">
        <v>23</v>
      </c>
      <c r="D4" s="3" t="s">
        <v>25</v>
      </c>
      <c r="E4" s="5">
        <v>46142.75625</v>
      </c>
      <c r="F4" s="3" t="s">
        <v>48</v>
      </c>
      <c r="G4" s="3" t="s">
        <v>49</v>
      </c>
      <c r="H4" s="3" t="s">
        <v>51</v>
      </c>
      <c r="I4" s="9" t="s">
        <v>52</v>
      </c>
      <c r="J4" s="10">
        <v>8102025.0</v>
      </c>
      <c r="K4" s="10">
        <v>2.0082012E7</v>
      </c>
      <c r="L4" s="3" t="s">
        <v>35</v>
      </c>
      <c r="M4" s="3" t="s">
        <v>36</v>
      </c>
      <c r="N4" s="11">
        <v>865.0</v>
      </c>
      <c r="O4" s="3" t="s">
        <v>37</v>
      </c>
    </row>
    <row r="5">
      <c r="A5" s="3" t="s">
        <v>55</v>
      </c>
      <c r="B5" s="3" t="s">
        <v>22</v>
      </c>
      <c r="C5" s="3" t="s">
        <v>23</v>
      </c>
      <c r="D5" s="3" t="s">
        <v>25</v>
      </c>
      <c r="E5" s="5">
        <v>46142.75625</v>
      </c>
      <c r="F5" s="3" t="s">
        <v>26</v>
      </c>
      <c r="G5" s="3" t="s">
        <v>58</v>
      </c>
      <c r="H5" s="3" t="s">
        <v>59</v>
      </c>
      <c r="I5" s="9" t="s">
        <v>60</v>
      </c>
      <c r="J5" s="10">
        <v>8102025.0</v>
      </c>
      <c r="K5" s="10">
        <v>2.0082012E7</v>
      </c>
      <c r="L5" s="3" t="s">
        <v>35</v>
      </c>
      <c r="M5" s="3" t="s">
        <v>36</v>
      </c>
      <c r="N5" s="11">
        <v>865.0</v>
      </c>
      <c r="O5" s="3" t="s">
        <v>37</v>
      </c>
    </row>
    <row r="6">
      <c r="A6" s="3" t="s">
        <v>63</v>
      </c>
      <c r="B6" s="3" t="s">
        <v>22</v>
      </c>
      <c r="C6" s="3" t="s">
        <v>23</v>
      </c>
      <c r="D6" s="3" t="s">
        <v>25</v>
      </c>
      <c r="E6" s="5">
        <v>46142.75625</v>
      </c>
      <c r="F6" s="3" t="s">
        <v>26</v>
      </c>
      <c r="G6" s="3" t="s">
        <v>68</v>
      </c>
      <c r="H6" s="3" t="s">
        <v>69</v>
      </c>
      <c r="I6" s="9" t="s">
        <v>70</v>
      </c>
      <c r="J6" s="10">
        <v>8102025.0</v>
      </c>
      <c r="K6" s="10">
        <v>2.1082012E7</v>
      </c>
      <c r="L6" s="3" t="s">
        <v>35</v>
      </c>
      <c r="M6" s="3" t="s">
        <v>36</v>
      </c>
      <c r="N6" s="11">
        <v>865.0</v>
      </c>
      <c r="O6" s="3" t="s">
        <v>37</v>
      </c>
    </row>
    <row r="7">
      <c r="A7" s="3" t="s">
        <v>73</v>
      </c>
      <c r="B7" s="3" t="s">
        <v>22</v>
      </c>
      <c r="C7" s="3" t="s">
        <v>23</v>
      </c>
      <c r="D7" s="3" t="s">
        <v>25</v>
      </c>
      <c r="E7" s="5">
        <v>46142.75625</v>
      </c>
      <c r="F7" s="3" t="s">
        <v>26</v>
      </c>
      <c r="G7" s="3" t="s">
        <v>75</v>
      </c>
      <c r="H7" s="3" t="s">
        <v>74</v>
      </c>
      <c r="I7" s="9" t="s">
        <v>78</v>
      </c>
      <c r="J7" s="10">
        <v>8102025.0</v>
      </c>
      <c r="K7" s="10">
        <v>2.1082012E7</v>
      </c>
      <c r="L7" s="3" t="s">
        <v>35</v>
      </c>
      <c r="M7" s="3" t="s">
        <v>36</v>
      </c>
      <c r="N7" s="11">
        <v>865.0</v>
      </c>
      <c r="O7" s="3" t="s">
        <v>37</v>
      </c>
    </row>
    <row r="8">
      <c r="A8" s="3" t="s">
        <v>83</v>
      </c>
      <c r="B8" s="3" t="s">
        <v>22</v>
      </c>
      <c r="C8" s="3" t="s">
        <v>23</v>
      </c>
      <c r="D8" s="3" t="s">
        <v>25</v>
      </c>
      <c r="E8" s="5">
        <v>46142.75625</v>
      </c>
      <c r="F8" s="3" t="s">
        <v>26</v>
      </c>
      <c r="G8" s="3" t="s">
        <v>84</v>
      </c>
      <c r="H8" s="3" t="s">
        <v>85</v>
      </c>
      <c r="I8" s="9" t="s">
        <v>86</v>
      </c>
      <c r="J8" s="10">
        <v>2.1102025E7</v>
      </c>
      <c r="K8" s="10">
        <v>2.7082012E7</v>
      </c>
      <c r="L8" s="3" t="s">
        <v>35</v>
      </c>
      <c r="M8" s="3" t="s">
        <v>36</v>
      </c>
      <c r="N8" s="11">
        <v>865.0</v>
      </c>
      <c r="O8" s="3" t="s">
        <v>37</v>
      </c>
    </row>
    <row r="9">
      <c r="A9" s="3" t="s">
        <v>87</v>
      </c>
      <c r="B9" s="3" t="s">
        <v>22</v>
      </c>
      <c r="C9" s="3" t="s">
        <v>23</v>
      </c>
      <c r="D9" s="3" t="s">
        <v>25</v>
      </c>
      <c r="E9" s="5">
        <v>46142.75625</v>
      </c>
      <c r="F9" s="3" t="s">
        <v>48</v>
      </c>
      <c r="G9" s="3" t="s">
        <v>88</v>
      </c>
      <c r="H9" s="3" t="s">
        <v>90</v>
      </c>
      <c r="I9" s="9" t="s">
        <v>91</v>
      </c>
      <c r="J9" s="10">
        <v>8102025.0</v>
      </c>
      <c r="K9" s="10">
        <v>2.7082012E7</v>
      </c>
      <c r="L9" s="3" t="s">
        <v>35</v>
      </c>
      <c r="M9" s="3" t="s">
        <v>36</v>
      </c>
      <c r="N9" s="11">
        <v>865.0</v>
      </c>
      <c r="O9" s="3" t="s">
        <v>37</v>
      </c>
    </row>
    <row r="10">
      <c r="A10" s="3" t="s">
        <v>95</v>
      </c>
      <c r="B10" s="3" t="s">
        <v>22</v>
      </c>
      <c r="C10" s="3" t="s">
        <v>23</v>
      </c>
      <c r="D10" s="3" t="s">
        <v>25</v>
      </c>
      <c r="E10" s="5">
        <v>46142.75625</v>
      </c>
      <c r="F10" s="3" t="s">
        <v>26</v>
      </c>
      <c r="G10" s="3" t="s">
        <v>96</v>
      </c>
      <c r="H10" s="3" t="s">
        <v>98</v>
      </c>
      <c r="I10" s="9" t="s">
        <v>99</v>
      </c>
      <c r="J10" s="10">
        <v>8102025.0</v>
      </c>
      <c r="K10" s="10">
        <v>2.7082012E7</v>
      </c>
      <c r="L10" s="3" t="s">
        <v>35</v>
      </c>
      <c r="M10" s="3" t="s">
        <v>36</v>
      </c>
      <c r="N10" s="11">
        <v>865.0</v>
      </c>
      <c r="O10" s="3" t="s">
        <v>37</v>
      </c>
    </row>
    <row r="11">
      <c r="A11" s="3" t="s">
        <v>103</v>
      </c>
      <c r="B11" s="3" t="s">
        <v>22</v>
      </c>
      <c r="C11" s="3" t="s">
        <v>23</v>
      </c>
      <c r="D11" s="3" t="s">
        <v>25</v>
      </c>
      <c r="E11" s="5">
        <v>46142.75625</v>
      </c>
      <c r="F11" s="3" t="s">
        <v>26</v>
      </c>
      <c r="G11" s="3" t="s">
        <v>104</v>
      </c>
      <c r="H11" s="3" t="s">
        <v>105</v>
      </c>
      <c r="I11" s="9" t="s">
        <v>106</v>
      </c>
      <c r="J11" s="10">
        <v>8102025.0</v>
      </c>
      <c r="K11" s="10">
        <v>2.7082012E7</v>
      </c>
      <c r="L11" s="3" t="s">
        <v>35</v>
      </c>
      <c r="M11" s="3" t="s">
        <v>36</v>
      </c>
      <c r="N11" s="11">
        <v>865.0</v>
      </c>
      <c r="O11" s="3" t="s">
        <v>37</v>
      </c>
    </row>
    <row r="12">
      <c r="A12" s="3" t="s">
        <v>108</v>
      </c>
      <c r="B12" s="3" t="s">
        <v>22</v>
      </c>
      <c r="C12" s="3" t="s">
        <v>23</v>
      </c>
      <c r="D12" s="3" t="s">
        <v>25</v>
      </c>
      <c r="E12" s="5">
        <v>46142.75625</v>
      </c>
      <c r="F12" s="3" t="s">
        <v>48</v>
      </c>
      <c r="G12" s="3" t="s">
        <v>109</v>
      </c>
      <c r="H12" s="3" t="s">
        <v>110</v>
      </c>
      <c r="I12" s="9" t="s">
        <v>111</v>
      </c>
      <c r="J12" s="10">
        <v>8102025.0</v>
      </c>
      <c r="K12" s="10">
        <v>2.7082012E7</v>
      </c>
      <c r="L12" s="3" t="s">
        <v>35</v>
      </c>
      <c r="M12" s="3" t="s">
        <v>36</v>
      </c>
      <c r="N12" s="11">
        <v>865.0</v>
      </c>
      <c r="O12" s="3" t="s">
        <v>37</v>
      </c>
    </row>
    <row r="13">
      <c r="A13" s="3" t="s">
        <v>116</v>
      </c>
      <c r="B13" s="3" t="s">
        <v>22</v>
      </c>
      <c r="C13" s="3" t="s">
        <v>23</v>
      </c>
      <c r="D13" s="3" t="s">
        <v>25</v>
      </c>
      <c r="E13" s="5">
        <v>46142.75625</v>
      </c>
      <c r="F13" s="3" t="s">
        <v>117</v>
      </c>
      <c r="G13" s="3" t="s">
        <v>118</v>
      </c>
      <c r="H13" s="3" t="s">
        <v>119</v>
      </c>
      <c r="I13" s="9" t="s">
        <v>120</v>
      </c>
      <c r="J13" s="10">
        <v>8102025.0</v>
      </c>
      <c r="K13" s="10">
        <v>1.9092012E7</v>
      </c>
      <c r="L13" s="3" t="s">
        <v>35</v>
      </c>
      <c r="M13" s="3" t="s">
        <v>36</v>
      </c>
      <c r="N13" s="11">
        <v>865.0</v>
      </c>
      <c r="O13" s="3" t="s">
        <v>37</v>
      </c>
    </row>
    <row r="14">
      <c r="A14" s="3" t="s">
        <v>125</v>
      </c>
      <c r="B14" s="3" t="s">
        <v>22</v>
      </c>
      <c r="C14" s="3" t="s">
        <v>23</v>
      </c>
      <c r="D14" s="3" t="s">
        <v>25</v>
      </c>
      <c r="E14" s="5">
        <v>46142.75625</v>
      </c>
      <c r="F14" s="3" t="s">
        <v>48</v>
      </c>
      <c r="G14" s="3" t="s">
        <v>126</v>
      </c>
      <c r="H14" s="3" t="s">
        <v>127</v>
      </c>
      <c r="I14" s="9" t="s">
        <v>128</v>
      </c>
      <c r="J14" s="10">
        <v>8102025.0</v>
      </c>
      <c r="K14" s="10">
        <v>2.5092012E7</v>
      </c>
      <c r="L14" s="3" t="s">
        <v>35</v>
      </c>
      <c r="M14" s="3" t="s">
        <v>36</v>
      </c>
      <c r="N14" s="11">
        <v>865.0</v>
      </c>
      <c r="O14" s="3" t="s">
        <v>37</v>
      </c>
    </row>
    <row r="15">
      <c r="A15" s="3" t="s">
        <v>133</v>
      </c>
      <c r="B15" s="3" t="s">
        <v>22</v>
      </c>
      <c r="C15" s="3" t="s">
        <v>23</v>
      </c>
      <c r="D15" s="3" t="s">
        <v>25</v>
      </c>
      <c r="E15" s="5">
        <v>46142.75625</v>
      </c>
      <c r="F15" s="3" t="s">
        <v>26</v>
      </c>
      <c r="G15" s="3" t="s">
        <v>134</v>
      </c>
      <c r="H15" s="3" t="s">
        <v>135</v>
      </c>
      <c r="I15" s="9" t="s">
        <v>136</v>
      </c>
      <c r="J15" s="10">
        <v>8102025.0</v>
      </c>
      <c r="K15" s="10">
        <v>2.5092012E7</v>
      </c>
      <c r="L15" s="3" t="s">
        <v>35</v>
      </c>
      <c r="M15" s="3" t="s">
        <v>36</v>
      </c>
      <c r="N15" s="11">
        <v>865.0</v>
      </c>
      <c r="O15" s="3" t="s">
        <v>37</v>
      </c>
    </row>
    <row r="16">
      <c r="A16" s="3" t="s">
        <v>121</v>
      </c>
      <c r="B16" s="3" t="s">
        <v>22</v>
      </c>
      <c r="C16" s="3" t="s">
        <v>23</v>
      </c>
      <c r="D16" s="3" t="s">
        <v>25</v>
      </c>
      <c r="E16" s="5">
        <v>46142.75625</v>
      </c>
      <c r="F16" s="3" t="s">
        <v>26</v>
      </c>
      <c r="G16" s="3" t="s">
        <v>123</v>
      </c>
      <c r="H16" s="3" t="s">
        <v>122</v>
      </c>
      <c r="I16" s="9" t="s">
        <v>141</v>
      </c>
      <c r="J16" s="10">
        <v>8102025.0</v>
      </c>
      <c r="K16" s="10">
        <v>2.6092012E7</v>
      </c>
      <c r="L16" s="3" t="s">
        <v>35</v>
      </c>
      <c r="M16" s="3" t="s">
        <v>36</v>
      </c>
      <c r="N16" s="11">
        <v>865.0</v>
      </c>
      <c r="O16" s="3" t="s">
        <v>37</v>
      </c>
    </row>
    <row r="17">
      <c r="A17" s="3" t="s">
        <v>112</v>
      </c>
      <c r="B17" s="3" t="s">
        <v>22</v>
      </c>
      <c r="C17" s="3" t="s">
        <v>23</v>
      </c>
      <c r="D17" s="3" t="s">
        <v>25</v>
      </c>
      <c r="E17" s="5">
        <v>46142.75625</v>
      </c>
      <c r="F17" s="3" t="s">
        <v>26</v>
      </c>
      <c r="G17" s="3" t="s">
        <v>114</v>
      </c>
      <c r="H17" s="3" t="s">
        <v>113</v>
      </c>
      <c r="I17" s="9" t="s">
        <v>146</v>
      </c>
      <c r="J17" s="10">
        <v>8102025.0</v>
      </c>
      <c r="K17" s="10">
        <v>2.6092012E7</v>
      </c>
      <c r="L17" s="3" t="s">
        <v>35</v>
      </c>
      <c r="M17" s="3" t="s">
        <v>36</v>
      </c>
      <c r="N17" s="11">
        <v>865.0</v>
      </c>
      <c r="O17" s="3" t="s">
        <v>37</v>
      </c>
    </row>
    <row r="18">
      <c r="A18" s="3" t="s">
        <v>151</v>
      </c>
      <c r="B18" s="3" t="s">
        <v>22</v>
      </c>
      <c r="C18" s="3" t="s">
        <v>23</v>
      </c>
      <c r="D18" s="3" t="s">
        <v>25</v>
      </c>
      <c r="E18" s="5">
        <v>46142.75625</v>
      </c>
      <c r="F18" s="3" t="s">
        <v>117</v>
      </c>
      <c r="G18" s="3" t="s">
        <v>152</v>
      </c>
      <c r="H18" s="3" t="s">
        <v>153</v>
      </c>
      <c r="I18" s="9" t="s">
        <v>154</v>
      </c>
      <c r="J18" s="10">
        <v>8102025.0</v>
      </c>
      <c r="K18" s="10">
        <v>2.7092012E7</v>
      </c>
      <c r="L18" s="3" t="s">
        <v>35</v>
      </c>
      <c r="M18" s="3" t="s">
        <v>36</v>
      </c>
      <c r="N18" s="11">
        <v>865.0</v>
      </c>
      <c r="O18" s="3" t="s">
        <v>37</v>
      </c>
    </row>
    <row r="19">
      <c r="A19" s="3" t="s">
        <v>129</v>
      </c>
      <c r="B19" s="3" t="s">
        <v>22</v>
      </c>
      <c r="C19" s="3" t="s">
        <v>23</v>
      </c>
      <c r="D19" s="3" t="s">
        <v>25</v>
      </c>
      <c r="E19" s="5">
        <v>46142.75625</v>
      </c>
      <c r="F19" s="3" t="s">
        <v>26</v>
      </c>
      <c r="G19" s="3" t="s">
        <v>131</v>
      </c>
      <c r="H19" s="3" t="s">
        <v>130</v>
      </c>
      <c r="I19" s="9" t="s">
        <v>159</v>
      </c>
      <c r="J19" s="10">
        <v>8102025.0</v>
      </c>
      <c r="K19" s="10">
        <v>2.7092012E7</v>
      </c>
      <c r="L19" s="3" t="s">
        <v>35</v>
      </c>
      <c r="M19" s="3" t="s">
        <v>36</v>
      </c>
      <c r="N19" s="11">
        <v>865.0</v>
      </c>
      <c r="O19" s="3" t="s">
        <v>37</v>
      </c>
    </row>
    <row r="20">
      <c r="A20" s="3" t="s">
        <v>161</v>
      </c>
      <c r="B20" s="3" t="s">
        <v>22</v>
      </c>
      <c r="C20" s="3" t="s">
        <v>23</v>
      </c>
      <c r="D20" s="3" t="s">
        <v>25</v>
      </c>
      <c r="E20" s="5">
        <v>46142.75625</v>
      </c>
      <c r="F20" s="3" t="s">
        <v>48</v>
      </c>
      <c r="G20" s="3" t="s">
        <v>162</v>
      </c>
      <c r="H20" s="3" t="s">
        <v>163</v>
      </c>
      <c r="I20" s="9" t="s">
        <v>164</v>
      </c>
      <c r="J20" s="10">
        <v>8102025.0</v>
      </c>
      <c r="K20" s="10">
        <v>2.7092012E7</v>
      </c>
      <c r="L20" s="3" t="s">
        <v>35</v>
      </c>
      <c r="M20" s="3" t="s">
        <v>36</v>
      </c>
      <c r="N20" s="11">
        <v>865.0</v>
      </c>
      <c r="O20" s="3" t="s">
        <v>37</v>
      </c>
    </row>
    <row r="21">
      <c r="A21" s="22" t="s">
        <v>169</v>
      </c>
      <c r="B21" s="3" t="s">
        <v>22</v>
      </c>
      <c r="C21" s="3" t="s">
        <v>23</v>
      </c>
      <c r="D21" s="3" t="s">
        <v>25</v>
      </c>
      <c r="E21" s="5">
        <v>46142.75625</v>
      </c>
      <c r="F21" s="3" t="s">
        <v>117</v>
      </c>
      <c r="G21" s="3" t="s">
        <v>170</v>
      </c>
      <c r="H21" s="3" t="s">
        <v>171</v>
      </c>
      <c r="I21" s="9" t="s">
        <v>172</v>
      </c>
      <c r="J21" s="10">
        <v>8102025.0</v>
      </c>
      <c r="K21" s="10">
        <v>2.8092012E7</v>
      </c>
      <c r="L21" s="3" t="s">
        <v>35</v>
      </c>
      <c r="M21" s="3" t="s">
        <v>36</v>
      </c>
      <c r="N21" s="11">
        <v>865.0</v>
      </c>
      <c r="O21" s="3" t="s">
        <v>37</v>
      </c>
    </row>
    <row r="22">
      <c r="A22" s="3" t="s">
        <v>177</v>
      </c>
      <c r="B22" s="3" t="s">
        <v>22</v>
      </c>
      <c r="C22" s="3" t="s">
        <v>23</v>
      </c>
      <c r="D22" s="3" t="s">
        <v>25</v>
      </c>
      <c r="E22" s="5">
        <v>46142.75625</v>
      </c>
      <c r="F22" s="3" t="s">
        <v>117</v>
      </c>
      <c r="G22" s="3" t="s">
        <v>178</v>
      </c>
      <c r="H22" s="3" t="s">
        <v>179</v>
      </c>
      <c r="I22" s="9" t="s">
        <v>180</v>
      </c>
      <c r="J22" s="10">
        <v>8102025.0</v>
      </c>
      <c r="K22" s="10">
        <v>2.8092012E7</v>
      </c>
      <c r="L22" s="3" t="s">
        <v>35</v>
      </c>
      <c r="M22" s="3" t="s">
        <v>36</v>
      </c>
      <c r="N22" s="11">
        <v>865.0</v>
      </c>
      <c r="O22" s="3" t="s">
        <v>37</v>
      </c>
    </row>
    <row r="23">
      <c r="A23" s="3" t="s">
        <v>182</v>
      </c>
      <c r="B23" s="3" t="s">
        <v>22</v>
      </c>
      <c r="C23" s="3" t="s">
        <v>23</v>
      </c>
      <c r="D23" s="3" t="s">
        <v>25</v>
      </c>
      <c r="E23" s="5">
        <v>46142.75625</v>
      </c>
      <c r="F23" s="3" t="s">
        <v>117</v>
      </c>
      <c r="G23" s="3" t="s">
        <v>183</v>
      </c>
      <c r="H23" s="3" t="s">
        <v>184</v>
      </c>
      <c r="I23" s="9" t="s">
        <v>185</v>
      </c>
      <c r="J23" s="10">
        <v>8102025.0</v>
      </c>
      <c r="K23" s="10">
        <v>2.8092012E7</v>
      </c>
      <c r="L23" s="3" t="s">
        <v>35</v>
      </c>
      <c r="M23" s="3" t="s">
        <v>36</v>
      </c>
      <c r="N23" s="11">
        <v>865.0</v>
      </c>
      <c r="O23" s="3" t="s">
        <v>37</v>
      </c>
    </row>
    <row r="24">
      <c r="A24" s="3" t="s">
        <v>186</v>
      </c>
      <c r="B24" s="3" t="s">
        <v>22</v>
      </c>
      <c r="C24" s="3" t="s">
        <v>23</v>
      </c>
      <c r="D24" s="3" t="s">
        <v>25</v>
      </c>
      <c r="E24" s="5">
        <v>46142.75625</v>
      </c>
      <c r="F24" s="3" t="s">
        <v>26</v>
      </c>
      <c r="G24" s="3" t="s">
        <v>188</v>
      </c>
      <c r="H24" s="3" t="s">
        <v>189</v>
      </c>
      <c r="I24" s="9" t="s">
        <v>190</v>
      </c>
      <c r="J24" s="10">
        <v>8102025.0</v>
      </c>
      <c r="K24" s="10">
        <v>1102012.0</v>
      </c>
      <c r="L24" s="3" t="s">
        <v>35</v>
      </c>
      <c r="M24" s="3" t="s">
        <v>36</v>
      </c>
      <c r="N24" s="11">
        <v>865.0</v>
      </c>
      <c r="O24" s="3" t="s">
        <v>37</v>
      </c>
    </row>
    <row r="25">
      <c r="A25" s="3" t="s">
        <v>191</v>
      </c>
      <c r="B25" s="3" t="s">
        <v>22</v>
      </c>
      <c r="C25" s="3" t="s">
        <v>23</v>
      </c>
      <c r="D25" s="3" t="s">
        <v>25</v>
      </c>
      <c r="E25" s="5">
        <v>46142.75625</v>
      </c>
      <c r="F25" s="3" t="s">
        <v>117</v>
      </c>
      <c r="G25" s="3" t="s">
        <v>193</v>
      </c>
      <c r="H25" s="3" t="s">
        <v>194</v>
      </c>
      <c r="I25" s="9" t="s">
        <v>195</v>
      </c>
      <c r="J25" s="10">
        <v>8102025.0</v>
      </c>
      <c r="K25" s="10">
        <v>1102012.0</v>
      </c>
      <c r="L25" s="3" t="s">
        <v>35</v>
      </c>
      <c r="M25" s="3" t="s">
        <v>36</v>
      </c>
      <c r="N25" s="11">
        <v>865.0</v>
      </c>
      <c r="O25" s="3" t="s">
        <v>37</v>
      </c>
    </row>
    <row r="26">
      <c r="A26" s="3" t="s">
        <v>197</v>
      </c>
      <c r="B26" s="3" t="s">
        <v>22</v>
      </c>
      <c r="C26" s="3" t="s">
        <v>23</v>
      </c>
      <c r="D26" s="3" t="s">
        <v>25</v>
      </c>
      <c r="E26" s="5">
        <v>46142.75625</v>
      </c>
      <c r="F26" s="3" t="s">
        <v>117</v>
      </c>
      <c r="G26" s="3" t="s">
        <v>201</v>
      </c>
      <c r="H26" s="3" t="s">
        <v>202</v>
      </c>
      <c r="I26" s="9" t="s">
        <v>203</v>
      </c>
      <c r="J26" s="10">
        <v>8102025.0</v>
      </c>
      <c r="K26" s="10">
        <v>1102012.0</v>
      </c>
      <c r="L26" s="3" t="s">
        <v>35</v>
      </c>
      <c r="M26" s="3" t="s">
        <v>36</v>
      </c>
      <c r="N26" s="11">
        <v>865.0</v>
      </c>
      <c r="O26" s="3" t="s">
        <v>37</v>
      </c>
    </row>
    <row r="27">
      <c r="A27" s="3" t="s">
        <v>206</v>
      </c>
      <c r="B27" s="3" t="s">
        <v>22</v>
      </c>
      <c r="C27" s="3" t="s">
        <v>23</v>
      </c>
      <c r="D27" s="3" t="s">
        <v>25</v>
      </c>
      <c r="E27" s="5">
        <v>46142.75625</v>
      </c>
      <c r="F27" s="3" t="s">
        <v>26</v>
      </c>
      <c r="G27" s="3" t="s">
        <v>209</v>
      </c>
      <c r="H27" s="3" t="s">
        <v>210</v>
      </c>
      <c r="I27" s="9" t="s">
        <v>211</v>
      </c>
      <c r="J27" s="10">
        <v>8102025.0</v>
      </c>
      <c r="K27" s="10">
        <v>1102012.0</v>
      </c>
      <c r="L27" s="3" t="s">
        <v>35</v>
      </c>
      <c r="M27" s="3" t="s">
        <v>36</v>
      </c>
      <c r="N27" s="11">
        <v>865.0</v>
      </c>
      <c r="O27" s="3" t="s">
        <v>37</v>
      </c>
    </row>
    <row r="28">
      <c r="A28" s="3" t="s">
        <v>213</v>
      </c>
      <c r="B28" s="3" t="s">
        <v>22</v>
      </c>
      <c r="C28" s="3" t="s">
        <v>23</v>
      </c>
      <c r="D28" s="3" t="s">
        <v>25</v>
      </c>
      <c r="E28" s="5">
        <v>46142.75625</v>
      </c>
      <c r="F28" s="3" t="s">
        <v>117</v>
      </c>
      <c r="G28" s="3" t="s">
        <v>217</v>
      </c>
      <c r="H28" s="3" t="s">
        <v>218</v>
      </c>
      <c r="I28" s="9" t="s">
        <v>219</v>
      </c>
      <c r="J28" s="10">
        <v>8102025.0</v>
      </c>
      <c r="K28" s="10">
        <v>1102012.0</v>
      </c>
      <c r="L28" s="3" t="s">
        <v>35</v>
      </c>
      <c r="M28" s="3" t="s">
        <v>36</v>
      </c>
      <c r="N28" s="11">
        <v>865.0</v>
      </c>
      <c r="O28" s="3" t="s">
        <v>37</v>
      </c>
    </row>
    <row r="29">
      <c r="A29" s="3" t="s">
        <v>220</v>
      </c>
      <c r="B29" s="3" t="s">
        <v>22</v>
      </c>
      <c r="C29" s="3" t="s">
        <v>23</v>
      </c>
      <c r="D29" s="3" t="s">
        <v>25</v>
      </c>
      <c r="E29" s="5">
        <v>46142.75625</v>
      </c>
      <c r="F29" s="3" t="s">
        <v>117</v>
      </c>
      <c r="G29" s="3" t="s">
        <v>222</v>
      </c>
      <c r="H29" s="3" t="s">
        <v>223</v>
      </c>
      <c r="I29" s="9" t="s">
        <v>225</v>
      </c>
      <c r="J29" s="10">
        <v>8102025.0</v>
      </c>
      <c r="K29" s="10">
        <v>1102012.0</v>
      </c>
      <c r="L29" s="3" t="s">
        <v>35</v>
      </c>
      <c r="M29" s="3" t="s">
        <v>36</v>
      </c>
      <c r="N29" s="11">
        <v>865.0</v>
      </c>
      <c r="O29" s="3" t="s">
        <v>37</v>
      </c>
    </row>
    <row r="30">
      <c r="A30" s="3" t="s">
        <v>228</v>
      </c>
      <c r="B30" s="3" t="s">
        <v>22</v>
      </c>
      <c r="C30" s="3" t="s">
        <v>23</v>
      </c>
      <c r="D30" s="3" t="s">
        <v>25</v>
      </c>
      <c r="E30" s="5">
        <v>46142.75625</v>
      </c>
      <c r="F30" s="3" t="s">
        <v>117</v>
      </c>
      <c r="G30" s="3" t="s">
        <v>230</v>
      </c>
      <c r="H30" s="3" t="s">
        <v>231</v>
      </c>
      <c r="I30" s="9" t="s">
        <v>232</v>
      </c>
      <c r="J30" s="10">
        <v>8102025.0</v>
      </c>
      <c r="K30" s="10">
        <v>1102012.0</v>
      </c>
      <c r="L30" s="3" t="s">
        <v>35</v>
      </c>
      <c r="M30" s="3" t="s">
        <v>36</v>
      </c>
      <c r="N30" s="11">
        <v>865.0</v>
      </c>
      <c r="O30" s="3" t="s">
        <v>37</v>
      </c>
    </row>
    <row r="31">
      <c r="A31" s="3" t="s">
        <v>236</v>
      </c>
      <c r="B31" s="3" t="s">
        <v>22</v>
      </c>
      <c r="C31" s="3" t="s">
        <v>23</v>
      </c>
      <c r="D31" s="3" t="s">
        <v>25</v>
      </c>
      <c r="E31" s="5">
        <v>46142.75625</v>
      </c>
      <c r="F31" s="3" t="s">
        <v>117</v>
      </c>
      <c r="G31" s="3" t="s">
        <v>237</v>
      </c>
      <c r="H31" s="3" t="s">
        <v>238</v>
      </c>
      <c r="I31" s="9" t="s">
        <v>239</v>
      </c>
      <c r="J31" s="10">
        <v>8102025.0</v>
      </c>
      <c r="K31" s="10">
        <v>1102012.0</v>
      </c>
      <c r="L31" s="3" t="s">
        <v>35</v>
      </c>
      <c r="M31" s="3" t="s">
        <v>36</v>
      </c>
      <c r="N31" s="11">
        <v>865.0</v>
      </c>
      <c r="O31" s="3" t="s">
        <v>37</v>
      </c>
    </row>
    <row r="32">
      <c r="A32" s="3" t="s">
        <v>241</v>
      </c>
      <c r="B32" s="3" t="s">
        <v>22</v>
      </c>
      <c r="C32" s="3" t="s">
        <v>23</v>
      </c>
      <c r="D32" s="3" t="s">
        <v>25</v>
      </c>
      <c r="E32" s="5">
        <v>46142.75625</v>
      </c>
      <c r="F32" s="3" t="s">
        <v>117</v>
      </c>
      <c r="G32" s="3" t="s">
        <v>242</v>
      </c>
      <c r="H32" s="3" t="s">
        <v>243</v>
      </c>
      <c r="I32" s="9" t="s">
        <v>244</v>
      </c>
      <c r="J32" s="10">
        <v>8102025.0</v>
      </c>
      <c r="K32" s="10">
        <v>2102012.0</v>
      </c>
      <c r="L32" s="3" t="s">
        <v>35</v>
      </c>
      <c r="M32" s="3" t="s">
        <v>36</v>
      </c>
      <c r="N32" s="11">
        <v>865.0</v>
      </c>
      <c r="O32" s="3" t="s">
        <v>37</v>
      </c>
    </row>
    <row r="33">
      <c r="A33" s="3" t="s">
        <v>249</v>
      </c>
      <c r="B33" s="3" t="s">
        <v>22</v>
      </c>
      <c r="C33" s="3" t="s">
        <v>23</v>
      </c>
      <c r="D33" s="3" t="s">
        <v>25</v>
      </c>
      <c r="E33" s="5">
        <v>46142.75625</v>
      </c>
      <c r="F33" s="3" t="s">
        <v>26</v>
      </c>
      <c r="G33" s="3" t="s">
        <v>250</v>
      </c>
      <c r="H33" s="3" t="s">
        <v>251</v>
      </c>
      <c r="I33" s="9" t="s">
        <v>252</v>
      </c>
      <c r="J33" s="10">
        <v>8102025.0</v>
      </c>
      <c r="K33" s="10">
        <v>2102012.0</v>
      </c>
      <c r="L33" s="3" t="s">
        <v>35</v>
      </c>
      <c r="M33" s="3" t="s">
        <v>36</v>
      </c>
      <c r="N33" s="11">
        <v>865.0</v>
      </c>
      <c r="O33" s="3" t="s">
        <v>37</v>
      </c>
    </row>
    <row r="34">
      <c r="A34" s="3" t="s">
        <v>257</v>
      </c>
      <c r="B34" s="3" t="s">
        <v>22</v>
      </c>
      <c r="C34" s="3" t="s">
        <v>23</v>
      </c>
      <c r="D34" s="3" t="s">
        <v>25</v>
      </c>
      <c r="E34" s="5">
        <v>46142.75625</v>
      </c>
      <c r="F34" s="3" t="s">
        <v>117</v>
      </c>
      <c r="G34" s="3" t="s">
        <v>258</v>
      </c>
      <c r="H34" s="3" t="s">
        <v>259</v>
      </c>
      <c r="I34" s="9" t="s">
        <v>260</v>
      </c>
      <c r="J34" s="10">
        <v>8102025.0</v>
      </c>
      <c r="K34" s="10">
        <v>2102012.0</v>
      </c>
      <c r="L34" s="3" t="s">
        <v>35</v>
      </c>
      <c r="M34" s="3" t="s">
        <v>36</v>
      </c>
      <c r="N34" s="11">
        <v>865.0</v>
      </c>
      <c r="O34" s="3" t="s">
        <v>37</v>
      </c>
    </row>
    <row r="35">
      <c r="A35" s="3" t="s">
        <v>265</v>
      </c>
      <c r="B35" s="3" t="s">
        <v>22</v>
      </c>
      <c r="C35" s="3" t="s">
        <v>23</v>
      </c>
      <c r="D35" s="3" t="s">
        <v>25</v>
      </c>
      <c r="E35" s="5">
        <v>46142.75625</v>
      </c>
      <c r="F35" s="3" t="s">
        <v>26</v>
      </c>
      <c r="G35" s="3" t="s">
        <v>266</v>
      </c>
      <c r="H35" s="3" t="s">
        <v>267</v>
      </c>
      <c r="I35" s="9" t="s">
        <v>268</v>
      </c>
      <c r="J35" s="10">
        <v>8102025.0</v>
      </c>
      <c r="K35" s="10">
        <v>2102012.0</v>
      </c>
      <c r="L35" s="3" t="s">
        <v>35</v>
      </c>
      <c r="M35" s="3" t="s">
        <v>36</v>
      </c>
      <c r="N35" s="11">
        <v>865.0</v>
      </c>
      <c r="O35" s="3" t="s">
        <v>37</v>
      </c>
    </row>
    <row r="36">
      <c r="A36" s="3" t="s">
        <v>273</v>
      </c>
      <c r="B36" s="3" t="s">
        <v>22</v>
      </c>
      <c r="C36" s="3" t="s">
        <v>23</v>
      </c>
      <c r="D36" s="3" t="s">
        <v>25</v>
      </c>
      <c r="E36" s="5">
        <v>46142.75625</v>
      </c>
      <c r="F36" s="3" t="s">
        <v>117</v>
      </c>
      <c r="G36" s="3" t="s">
        <v>274</v>
      </c>
      <c r="H36" s="3" t="s">
        <v>275</v>
      </c>
      <c r="I36" s="9" t="s">
        <v>276</v>
      </c>
      <c r="J36" s="10">
        <v>8102025.0</v>
      </c>
      <c r="K36" s="10">
        <v>4102012.0</v>
      </c>
      <c r="L36" s="3" t="s">
        <v>35</v>
      </c>
      <c r="M36" s="3" t="s">
        <v>36</v>
      </c>
      <c r="N36" s="11">
        <v>865.0</v>
      </c>
      <c r="O36" s="3" t="s">
        <v>37</v>
      </c>
    </row>
    <row r="37">
      <c r="A37" s="3" t="s">
        <v>281</v>
      </c>
      <c r="B37" s="3" t="s">
        <v>22</v>
      </c>
      <c r="C37" s="3" t="s">
        <v>23</v>
      </c>
      <c r="D37" s="3" t="s">
        <v>25</v>
      </c>
      <c r="E37" s="5">
        <v>46142.75625</v>
      </c>
      <c r="F37" s="3" t="s">
        <v>117</v>
      </c>
      <c r="G37" s="3" t="s">
        <v>282</v>
      </c>
      <c r="H37" s="3" t="s">
        <v>283</v>
      </c>
      <c r="I37" s="9" t="s">
        <v>284</v>
      </c>
      <c r="J37" s="10">
        <v>8102025.0</v>
      </c>
      <c r="K37" s="10">
        <v>4102012.0</v>
      </c>
      <c r="L37" s="3" t="s">
        <v>35</v>
      </c>
      <c r="M37" s="3" t="s">
        <v>36</v>
      </c>
      <c r="N37" s="11">
        <v>865.0</v>
      </c>
      <c r="O37" s="3" t="s">
        <v>37</v>
      </c>
    </row>
    <row r="38">
      <c r="A38" s="3" t="s">
        <v>289</v>
      </c>
      <c r="B38" s="3" t="s">
        <v>22</v>
      </c>
      <c r="C38" s="3" t="s">
        <v>23</v>
      </c>
      <c r="D38" s="3" t="s">
        <v>25</v>
      </c>
      <c r="E38" s="5">
        <v>46142.75625</v>
      </c>
      <c r="F38" s="3" t="s">
        <v>117</v>
      </c>
      <c r="G38" s="3" t="s">
        <v>290</v>
      </c>
      <c r="H38" s="3" t="s">
        <v>291</v>
      </c>
      <c r="I38" s="9" t="s">
        <v>292</v>
      </c>
      <c r="J38" s="10">
        <v>8102025.0</v>
      </c>
      <c r="K38" s="10">
        <v>4102012.0</v>
      </c>
      <c r="L38" s="3" t="s">
        <v>35</v>
      </c>
      <c r="M38" s="3" t="s">
        <v>36</v>
      </c>
      <c r="N38" s="11">
        <v>865.0</v>
      </c>
      <c r="O38" s="3" t="s">
        <v>37</v>
      </c>
    </row>
    <row r="39">
      <c r="A39" s="3" t="s">
        <v>294</v>
      </c>
      <c r="B39" s="3" t="s">
        <v>22</v>
      </c>
      <c r="C39" s="3" t="s">
        <v>23</v>
      </c>
      <c r="D39" s="3" t="s">
        <v>25</v>
      </c>
      <c r="E39" s="5">
        <v>46142.75625</v>
      </c>
      <c r="F39" s="3" t="s">
        <v>117</v>
      </c>
      <c r="G39" s="3" t="s">
        <v>295</v>
      </c>
      <c r="H39" s="3" t="s">
        <v>296</v>
      </c>
      <c r="I39" s="9" t="s">
        <v>297</v>
      </c>
      <c r="J39" s="10">
        <v>8102025.0</v>
      </c>
      <c r="K39" s="10">
        <v>4102012.0</v>
      </c>
      <c r="L39" s="3" t="s">
        <v>35</v>
      </c>
      <c r="M39" s="3" t="s">
        <v>36</v>
      </c>
      <c r="N39" s="11">
        <v>865.0</v>
      </c>
      <c r="O39" s="3" t="s">
        <v>37</v>
      </c>
    </row>
    <row r="40">
      <c r="A40" s="3" t="s">
        <v>302</v>
      </c>
      <c r="B40" s="3" t="s">
        <v>22</v>
      </c>
      <c r="C40" s="3" t="s">
        <v>23</v>
      </c>
      <c r="D40" s="3" t="s">
        <v>25</v>
      </c>
      <c r="E40" s="5">
        <v>46142.75625</v>
      </c>
      <c r="F40" s="3" t="s">
        <v>117</v>
      </c>
      <c r="G40" s="3" t="s">
        <v>303</v>
      </c>
      <c r="H40" s="3" t="s">
        <v>304</v>
      </c>
      <c r="I40" s="9" t="s">
        <v>305</v>
      </c>
      <c r="J40" s="10">
        <v>8102025.0</v>
      </c>
      <c r="K40" s="10">
        <v>4102012.0</v>
      </c>
      <c r="L40" s="3" t="s">
        <v>35</v>
      </c>
      <c r="M40" s="3" t="s">
        <v>36</v>
      </c>
      <c r="N40" s="11">
        <v>865.0</v>
      </c>
      <c r="O40" s="3" t="s">
        <v>37</v>
      </c>
    </row>
    <row r="41">
      <c r="A41" s="3" t="s">
        <v>306</v>
      </c>
      <c r="B41" s="3" t="s">
        <v>22</v>
      </c>
      <c r="C41" s="3" t="s">
        <v>23</v>
      </c>
      <c r="D41" s="3" t="s">
        <v>25</v>
      </c>
      <c r="E41" s="5">
        <v>46142.75625</v>
      </c>
      <c r="F41" s="3" t="s">
        <v>117</v>
      </c>
      <c r="G41" s="3" t="s">
        <v>308</v>
      </c>
      <c r="H41" s="3" t="s">
        <v>309</v>
      </c>
      <c r="I41" s="9" t="s">
        <v>310</v>
      </c>
      <c r="J41" s="10">
        <v>8102025.0</v>
      </c>
      <c r="K41" s="10">
        <v>4102012.0</v>
      </c>
      <c r="L41" s="3" t="s">
        <v>35</v>
      </c>
      <c r="M41" s="3" t="s">
        <v>36</v>
      </c>
      <c r="N41" s="11">
        <v>865.0</v>
      </c>
      <c r="O41" s="3" t="s">
        <v>37</v>
      </c>
    </row>
    <row r="42">
      <c r="A42" s="3" t="s">
        <v>311</v>
      </c>
      <c r="B42" s="3" t="s">
        <v>22</v>
      </c>
      <c r="C42" s="3" t="s">
        <v>23</v>
      </c>
      <c r="D42" s="3" t="s">
        <v>25</v>
      </c>
      <c r="E42" s="5">
        <v>46142.75625</v>
      </c>
      <c r="F42" s="3" t="s">
        <v>117</v>
      </c>
      <c r="G42" s="3" t="s">
        <v>312</v>
      </c>
      <c r="H42" s="3" t="s">
        <v>313</v>
      </c>
      <c r="I42" s="9" t="s">
        <v>314</v>
      </c>
      <c r="J42" s="10">
        <v>8102025.0</v>
      </c>
      <c r="K42" s="10">
        <v>4102012.0</v>
      </c>
      <c r="L42" s="3" t="s">
        <v>35</v>
      </c>
      <c r="M42" s="3" t="s">
        <v>36</v>
      </c>
      <c r="N42" s="11">
        <v>865.0</v>
      </c>
      <c r="O42" s="3" t="s">
        <v>37</v>
      </c>
    </row>
    <row r="43">
      <c r="A43" s="3" t="s">
        <v>316</v>
      </c>
      <c r="B43" s="3" t="s">
        <v>22</v>
      </c>
      <c r="C43" s="3" t="s">
        <v>23</v>
      </c>
      <c r="D43" s="3" t="s">
        <v>25</v>
      </c>
      <c r="E43" s="5">
        <v>46142.75625</v>
      </c>
      <c r="F43" s="3" t="s">
        <v>117</v>
      </c>
      <c r="G43" s="3" t="s">
        <v>318</v>
      </c>
      <c r="H43" s="3" t="s">
        <v>319</v>
      </c>
      <c r="I43" s="9" t="s">
        <v>321</v>
      </c>
      <c r="J43" s="10">
        <v>8102025.0</v>
      </c>
      <c r="K43" s="10">
        <v>5102012.0</v>
      </c>
      <c r="L43" s="3" t="s">
        <v>35</v>
      </c>
      <c r="M43" s="3" t="s">
        <v>36</v>
      </c>
      <c r="N43" s="11">
        <v>865.0</v>
      </c>
      <c r="O43" s="3" t="s">
        <v>37</v>
      </c>
    </row>
    <row r="44">
      <c r="A44" s="3" t="s">
        <v>324</v>
      </c>
      <c r="B44" s="3" t="s">
        <v>22</v>
      </c>
      <c r="C44" s="3" t="s">
        <v>23</v>
      </c>
      <c r="D44" s="3" t="s">
        <v>25</v>
      </c>
      <c r="E44" s="5">
        <v>46142.75625</v>
      </c>
      <c r="F44" s="3" t="s">
        <v>117</v>
      </c>
      <c r="G44" s="3" t="s">
        <v>325</v>
      </c>
      <c r="H44" s="3" t="s">
        <v>326</v>
      </c>
      <c r="I44" s="9" t="s">
        <v>327</v>
      </c>
      <c r="J44" s="10">
        <v>8102025.0</v>
      </c>
      <c r="K44" s="10">
        <v>5102012.0</v>
      </c>
      <c r="L44" s="3" t="s">
        <v>35</v>
      </c>
      <c r="M44" s="3" t="s">
        <v>36</v>
      </c>
      <c r="N44" s="11">
        <v>865.0</v>
      </c>
      <c r="O44" s="3" t="s">
        <v>37</v>
      </c>
    </row>
    <row r="45">
      <c r="A45" s="3" t="s">
        <v>329</v>
      </c>
      <c r="B45" s="3" t="s">
        <v>22</v>
      </c>
      <c r="C45" s="3" t="s">
        <v>23</v>
      </c>
      <c r="D45" s="3" t="s">
        <v>25</v>
      </c>
      <c r="E45" s="5">
        <v>46142.75625</v>
      </c>
      <c r="F45" s="3" t="s">
        <v>117</v>
      </c>
      <c r="G45" s="3" t="s">
        <v>331</v>
      </c>
      <c r="H45" s="3" t="s">
        <v>332</v>
      </c>
      <c r="I45" s="9" t="s">
        <v>334</v>
      </c>
      <c r="J45" s="10">
        <v>8102025.0</v>
      </c>
      <c r="K45" s="10">
        <v>5102012.0</v>
      </c>
      <c r="L45" s="3" t="s">
        <v>35</v>
      </c>
      <c r="M45" s="3" t="s">
        <v>36</v>
      </c>
      <c r="N45" s="11">
        <v>865.0</v>
      </c>
      <c r="O45" s="3" t="s">
        <v>37</v>
      </c>
    </row>
    <row r="46">
      <c r="A46" s="3" t="s">
        <v>337</v>
      </c>
      <c r="B46" s="3" t="s">
        <v>22</v>
      </c>
      <c r="C46" s="3" t="s">
        <v>23</v>
      </c>
      <c r="D46" s="3" t="s">
        <v>25</v>
      </c>
      <c r="E46" s="5">
        <v>46142.75625</v>
      </c>
      <c r="F46" s="3" t="s">
        <v>117</v>
      </c>
      <c r="G46" s="3" t="s">
        <v>338</v>
      </c>
      <c r="H46" s="3" t="s">
        <v>340</v>
      </c>
      <c r="I46" s="9" t="s">
        <v>341</v>
      </c>
      <c r="J46" s="10">
        <v>8102025.0</v>
      </c>
      <c r="K46" s="10">
        <v>5102012.0</v>
      </c>
      <c r="L46" s="3" t="s">
        <v>35</v>
      </c>
      <c r="M46" s="3" t="s">
        <v>36</v>
      </c>
      <c r="N46" s="11">
        <v>865.0</v>
      </c>
      <c r="O46" s="3" t="s">
        <v>37</v>
      </c>
    </row>
    <row r="47">
      <c r="A47" s="3" t="s">
        <v>345</v>
      </c>
      <c r="B47" s="3" t="s">
        <v>22</v>
      </c>
      <c r="C47" s="3" t="s">
        <v>23</v>
      </c>
      <c r="D47" s="3" t="s">
        <v>25</v>
      </c>
      <c r="E47" s="5">
        <v>46142.75625</v>
      </c>
      <c r="F47" s="3" t="s">
        <v>117</v>
      </c>
      <c r="G47" s="3" t="s">
        <v>346</v>
      </c>
      <c r="H47" s="3" t="s">
        <v>347</v>
      </c>
      <c r="I47" s="9" t="s">
        <v>348</v>
      </c>
      <c r="J47" s="10">
        <v>8102025.0</v>
      </c>
      <c r="K47" s="10">
        <v>5102012.0</v>
      </c>
      <c r="L47" s="3" t="s">
        <v>35</v>
      </c>
      <c r="M47" s="3" t="s">
        <v>36</v>
      </c>
      <c r="N47" s="11">
        <v>865.0</v>
      </c>
      <c r="O47" s="3" t="s">
        <v>37</v>
      </c>
    </row>
    <row r="48">
      <c r="A48" s="3" t="s">
        <v>350</v>
      </c>
      <c r="B48" s="3" t="s">
        <v>22</v>
      </c>
      <c r="C48" s="3" t="s">
        <v>23</v>
      </c>
      <c r="D48" s="3" t="s">
        <v>25</v>
      </c>
      <c r="E48" s="5">
        <v>46142.75625</v>
      </c>
      <c r="F48" s="3" t="s">
        <v>117</v>
      </c>
      <c r="G48" s="3" t="s">
        <v>351</v>
      </c>
      <c r="H48" s="3" t="s">
        <v>352</v>
      </c>
      <c r="I48" s="9" t="s">
        <v>353</v>
      </c>
      <c r="J48" s="10">
        <v>8102025.0</v>
      </c>
      <c r="K48" s="10">
        <v>6102012.0</v>
      </c>
      <c r="L48" s="3" t="s">
        <v>35</v>
      </c>
      <c r="M48" s="3" t="s">
        <v>36</v>
      </c>
      <c r="N48" s="11">
        <v>865.0</v>
      </c>
      <c r="O48" s="3" t="s">
        <v>37</v>
      </c>
    </row>
    <row r="49">
      <c r="A49" s="3" t="s">
        <v>358</v>
      </c>
      <c r="B49" s="3" t="s">
        <v>22</v>
      </c>
      <c r="C49" s="3" t="s">
        <v>23</v>
      </c>
      <c r="D49" s="3" t="s">
        <v>25</v>
      </c>
      <c r="E49" s="5">
        <v>46142.75625</v>
      </c>
      <c r="F49" s="3" t="s">
        <v>117</v>
      </c>
      <c r="G49" s="3" t="s">
        <v>359</v>
      </c>
      <c r="H49" s="3" t="s">
        <v>360</v>
      </c>
      <c r="I49" s="9" t="s">
        <v>362</v>
      </c>
      <c r="J49" s="10">
        <v>8102025.0</v>
      </c>
      <c r="K49" s="10">
        <v>6102012.0</v>
      </c>
      <c r="L49" s="3" t="s">
        <v>35</v>
      </c>
      <c r="M49" s="3" t="s">
        <v>36</v>
      </c>
      <c r="N49" s="11">
        <v>865.0</v>
      </c>
      <c r="O49" s="3" t="s">
        <v>37</v>
      </c>
    </row>
    <row r="50">
      <c r="A50" s="3" t="s">
        <v>366</v>
      </c>
      <c r="B50" s="3" t="s">
        <v>22</v>
      </c>
      <c r="C50" s="3" t="s">
        <v>23</v>
      </c>
      <c r="D50" s="3" t="s">
        <v>25</v>
      </c>
      <c r="E50" s="5">
        <v>46142.75625</v>
      </c>
      <c r="F50" s="3" t="s">
        <v>117</v>
      </c>
      <c r="G50" s="3" t="s">
        <v>367</v>
      </c>
      <c r="H50" s="3" t="s">
        <v>368</v>
      </c>
      <c r="I50" s="9" t="s">
        <v>369</v>
      </c>
      <c r="J50" s="10">
        <v>8102025.0</v>
      </c>
      <c r="K50" s="10">
        <v>6102012.0</v>
      </c>
      <c r="L50" s="3" t="s">
        <v>35</v>
      </c>
      <c r="M50" s="3" t="s">
        <v>36</v>
      </c>
      <c r="N50" s="11">
        <v>865.0</v>
      </c>
      <c r="O50" s="3" t="s">
        <v>37</v>
      </c>
    </row>
    <row r="51">
      <c r="A51" s="3" t="s">
        <v>374</v>
      </c>
      <c r="B51" s="3" t="s">
        <v>22</v>
      </c>
      <c r="C51" s="3" t="s">
        <v>23</v>
      </c>
      <c r="D51" s="3" t="s">
        <v>25</v>
      </c>
      <c r="E51" s="5">
        <v>46142.75625</v>
      </c>
      <c r="F51" s="3" t="s">
        <v>117</v>
      </c>
      <c r="G51" s="3" t="s">
        <v>375</v>
      </c>
      <c r="H51" s="3" t="s">
        <v>376</v>
      </c>
      <c r="I51" s="9" t="s">
        <v>377</v>
      </c>
      <c r="J51" s="10">
        <v>8102025.0</v>
      </c>
      <c r="K51" s="10">
        <v>6102012.0</v>
      </c>
      <c r="L51" s="3" t="s">
        <v>35</v>
      </c>
      <c r="M51" s="3" t="s">
        <v>36</v>
      </c>
      <c r="N51" s="11">
        <v>865.0</v>
      </c>
      <c r="O51" s="3" t="s">
        <v>37</v>
      </c>
    </row>
    <row r="52">
      <c r="A52" s="3" t="s">
        <v>382</v>
      </c>
      <c r="B52" s="3" t="s">
        <v>22</v>
      </c>
      <c r="C52" s="3" t="s">
        <v>23</v>
      </c>
      <c r="D52" s="3" t="s">
        <v>25</v>
      </c>
      <c r="E52" s="5">
        <v>46142.75625</v>
      </c>
      <c r="F52" s="3" t="s">
        <v>117</v>
      </c>
      <c r="G52" s="3" t="s">
        <v>383</v>
      </c>
      <c r="H52" s="3" t="s">
        <v>384</v>
      </c>
      <c r="I52" s="9" t="s">
        <v>385</v>
      </c>
      <c r="J52" s="10">
        <v>8102025.0</v>
      </c>
      <c r="K52" s="10">
        <v>6102012.0</v>
      </c>
      <c r="L52" s="3" t="s">
        <v>35</v>
      </c>
      <c r="M52" s="3" t="s">
        <v>36</v>
      </c>
      <c r="N52" s="11">
        <v>865.0</v>
      </c>
      <c r="O52" s="3" t="s">
        <v>37</v>
      </c>
    </row>
    <row r="53">
      <c r="A53" s="3" t="s">
        <v>390</v>
      </c>
      <c r="B53" s="3" t="s">
        <v>22</v>
      </c>
      <c r="C53" s="3" t="s">
        <v>23</v>
      </c>
      <c r="D53" s="3" t="s">
        <v>25</v>
      </c>
      <c r="E53" s="5">
        <v>46142.75625</v>
      </c>
      <c r="F53" s="3" t="s">
        <v>117</v>
      </c>
      <c r="G53" s="3" t="s">
        <v>391</v>
      </c>
      <c r="H53" s="3" t="s">
        <v>392</v>
      </c>
      <c r="I53" s="9" t="s">
        <v>393</v>
      </c>
      <c r="J53" s="10">
        <v>8102025.0</v>
      </c>
      <c r="K53" s="10">
        <v>6102012.0</v>
      </c>
      <c r="L53" s="3" t="s">
        <v>35</v>
      </c>
      <c r="M53" s="3" t="s">
        <v>36</v>
      </c>
      <c r="N53" s="11">
        <v>865.0</v>
      </c>
      <c r="O53" s="3" t="s">
        <v>37</v>
      </c>
    </row>
    <row r="54">
      <c r="A54" s="3" t="s">
        <v>212</v>
      </c>
      <c r="B54" s="3" t="s">
        <v>22</v>
      </c>
      <c r="C54" s="3" t="s">
        <v>23</v>
      </c>
      <c r="D54" s="3" t="s">
        <v>25</v>
      </c>
      <c r="E54" s="5">
        <v>46142.75625</v>
      </c>
      <c r="F54" s="3" t="s">
        <v>48</v>
      </c>
      <c r="G54" s="3" t="s">
        <v>215</v>
      </c>
      <c r="H54" s="3" t="s">
        <v>214</v>
      </c>
      <c r="I54" s="9" t="s">
        <v>399</v>
      </c>
      <c r="J54" s="10">
        <v>8102025.0</v>
      </c>
      <c r="K54" s="10">
        <v>8102012.0</v>
      </c>
      <c r="L54" s="3" t="s">
        <v>35</v>
      </c>
      <c r="M54" s="3" t="s">
        <v>36</v>
      </c>
      <c r="N54" s="11">
        <v>865.0</v>
      </c>
      <c r="O54" s="3" t="s">
        <v>37</v>
      </c>
    </row>
    <row r="55">
      <c r="A55" s="3" t="s">
        <v>404</v>
      </c>
      <c r="B55" s="3" t="s">
        <v>22</v>
      </c>
      <c r="C55" s="3" t="s">
        <v>23</v>
      </c>
      <c r="D55" s="3" t="s">
        <v>25</v>
      </c>
      <c r="E55" s="5">
        <v>46142.75625</v>
      </c>
      <c r="F55" s="3" t="s">
        <v>117</v>
      </c>
      <c r="G55" s="3" t="s">
        <v>405</v>
      </c>
      <c r="H55" s="3" t="s">
        <v>406</v>
      </c>
      <c r="I55" s="9" t="s">
        <v>407</v>
      </c>
      <c r="J55" s="10">
        <v>8102025.0</v>
      </c>
      <c r="K55" s="10">
        <v>8102012.0</v>
      </c>
      <c r="L55" s="3" t="s">
        <v>35</v>
      </c>
      <c r="M55" s="3" t="s">
        <v>36</v>
      </c>
      <c r="N55" s="11">
        <v>865.0</v>
      </c>
      <c r="O55" s="3" t="s">
        <v>37</v>
      </c>
    </row>
    <row r="56">
      <c r="A56" s="3" t="s">
        <v>412</v>
      </c>
      <c r="B56" s="3" t="s">
        <v>22</v>
      </c>
      <c r="C56" s="3" t="s">
        <v>23</v>
      </c>
      <c r="D56" s="3" t="s">
        <v>25</v>
      </c>
      <c r="E56" s="5">
        <v>46142.75625</v>
      </c>
      <c r="F56" s="3" t="s">
        <v>117</v>
      </c>
      <c r="G56" s="3" t="s">
        <v>413</v>
      </c>
      <c r="H56" s="3" t="s">
        <v>414</v>
      </c>
      <c r="I56" s="9" t="s">
        <v>415</v>
      </c>
      <c r="J56" s="10">
        <v>8102025.0</v>
      </c>
      <c r="K56" s="10">
        <v>8102012.0</v>
      </c>
      <c r="L56" s="3" t="s">
        <v>35</v>
      </c>
      <c r="M56" s="3" t="s">
        <v>36</v>
      </c>
      <c r="N56" s="11">
        <v>865.0</v>
      </c>
      <c r="O56" s="3" t="s">
        <v>37</v>
      </c>
    </row>
    <row r="57">
      <c r="A57" s="3" t="s">
        <v>420</v>
      </c>
      <c r="B57" s="3" t="s">
        <v>22</v>
      </c>
      <c r="C57" s="3" t="s">
        <v>23</v>
      </c>
      <c r="D57" s="3" t="s">
        <v>25</v>
      </c>
      <c r="E57" s="5">
        <v>46142.75625</v>
      </c>
      <c r="F57" s="3" t="s">
        <v>117</v>
      </c>
      <c r="G57" s="3" t="s">
        <v>421</v>
      </c>
      <c r="H57" s="3" t="s">
        <v>422</v>
      </c>
      <c r="I57" s="9" t="s">
        <v>423</v>
      </c>
      <c r="J57" s="10">
        <v>8102025.0</v>
      </c>
      <c r="K57" s="10">
        <v>8102012.0</v>
      </c>
      <c r="L57" s="3" t="s">
        <v>35</v>
      </c>
      <c r="M57" s="3" t="s">
        <v>36</v>
      </c>
      <c r="N57" s="11">
        <v>865.0</v>
      </c>
      <c r="O57" s="3" t="s">
        <v>37</v>
      </c>
    </row>
    <row r="58">
      <c r="A58" s="3" t="s">
        <v>386</v>
      </c>
      <c r="B58" s="3" t="s">
        <v>22</v>
      </c>
      <c r="C58" s="3" t="s">
        <v>23</v>
      </c>
      <c r="D58" s="3" t="s">
        <v>25</v>
      </c>
      <c r="E58" s="5">
        <v>46142.75625</v>
      </c>
      <c r="F58" s="3" t="s">
        <v>26</v>
      </c>
      <c r="G58" s="3" t="s">
        <v>388</v>
      </c>
      <c r="H58" s="3" t="s">
        <v>387</v>
      </c>
      <c r="I58" s="9" t="s">
        <v>429</v>
      </c>
      <c r="J58" s="10">
        <v>8102025.0</v>
      </c>
      <c r="K58" s="10">
        <v>1.1102012E7</v>
      </c>
      <c r="L58" s="3" t="s">
        <v>35</v>
      </c>
      <c r="M58" s="3" t="s">
        <v>36</v>
      </c>
      <c r="N58" s="11">
        <v>865.0</v>
      </c>
      <c r="O58" s="3" t="s">
        <v>37</v>
      </c>
    </row>
    <row r="59">
      <c r="A59" s="3" t="s">
        <v>196</v>
      </c>
      <c r="B59" s="3" t="s">
        <v>22</v>
      </c>
      <c r="C59" s="3" t="s">
        <v>23</v>
      </c>
      <c r="D59" s="3" t="s">
        <v>25</v>
      </c>
      <c r="E59" s="5">
        <v>46142.75625</v>
      </c>
      <c r="F59" s="3" t="s">
        <v>48</v>
      </c>
      <c r="G59" s="3" t="s">
        <v>199</v>
      </c>
      <c r="H59" s="3" t="s">
        <v>198</v>
      </c>
      <c r="I59" s="9" t="s">
        <v>434</v>
      </c>
      <c r="J59" s="10">
        <v>8102025.0</v>
      </c>
      <c r="K59" s="10">
        <v>1.1102012E7</v>
      </c>
      <c r="L59" s="3" t="s">
        <v>35</v>
      </c>
      <c r="M59" s="3" t="s">
        <v>36</v>
      </c>
      <c r="N59" s="11">
        <v>865.0</v>
      </c>
      <c r="O59" s="3" t="s">
        <v>37</v>
      </c>
    </row>
    <row r="60">
      <c r="A60" s="3" t="s">
        <v>204</v>
      </c>
      <c r="B60" s="3" t="s">
        <v>22</v>
      </c>
      <c r="C60" s="3" t="s">
        <v>23</v>
      </c>
      <c r="D60" s="3" t="s">
        <v>25</v>
      </c>
      <c r="E60" s="5">
        <v>46142.75625</v>
      </c>
      <c r="F60" s="3" t="s">
        <v>48</v>
      </c>
      <c r="G60" s="3" t="s">
        <v>207</v>
      </c>
      <c r="H60" s="3" t="s">
        <v>205</v>
      </c>
      <c r="I60" s="9" t="s">
        <v>435</v>
      </c>
      <c r="J60" s="10">
        <v>8102025.0</v>
      </c>
      <c r="K60" s="10">
        <v>1.1102012E7</v>
      </c>
      <c r="L60" s="3" t="s">
        <v>35</v>
      </c>
      <c r="M60" s="3" t="s">
        <v>36</v>
      </c>
      <c r="N60" s="11">
        <v>865.0</v>
      </c>
      <c r="O60" s="3" t="s">
        <v>37</v>
      </c>
    </row>
    <row r="61">
      <c r="A61" s="3" t="s">
        <v>277</v>
      </c>
      <c r="B61" s="3" t="s">
        <v>22</v>
      </c>
      <c r="C61" s="3" t="s">
        <v>23</v>
      </c>
      <c r="D61" s="3" t="s">
        <v>25</v>
      </c>
      <c r="E61" s="5">
        <v>46142.75625</v>
      </c>
      <c r="F61" s="3" t="s">
        <v>26</v>
      </c>
      <c r="G61" s="3" t="s">
        <v>279</v>
      </c>
      <c r="H61" s="3" t="s">
        <v>278</v>
      </c>
      <c r="I61" s="9" t="s">
        <v>440</v>
      </c>
      <c r="J61" s="10">
        <v>8102025.0</v>
      </c>
      <c r="K61" s="10">
        <v>1.1102012E7</v>
      </c>
      <c r="L61" s="3" t="s">
        <v>35</v>
      </c>
      <c r="M61" s="3" t="s">
        <v>36</v>
      </c>
      <c r="N61" s="11">
        <v>865.0</v>
      </c>
      <c r="O61" s="3" t="s">
        <v>37</v>
      </c>
    </row>
    <row r="62">
      <c r="A62" s="3" t="s">
        <v>443</v>
      </c>
      <c r="B62" s="3" t="s">
        <v>22</v>
      </c>
      <c r="C62" s="3" t="s">
        <v>23</v>
      </c>
      <c r="D62" s="3" t="s">
        <v>25</v>
      </c>
      <c r="E62" s="5">
        <v>46142.756944444445</v>
      </c>
      <c r="F62" s="3" t="s">
        <v>117</v>
      </c>
      <c r="G62" s="3" t="s">
        <v>444</v>
      </c>
      <c r="H62" s="3" t="s">
        <v>445</v>
      </c>
      <c r="I62" s="9" t="s">
        <v>446</v>
      </c>
      <c r="J62" s="10">
        <v>8102025.0</v>
      </c>
      <c r="K62" s="10">
        <v>3122012.0</v>
      </c>
      <c r="L62" s="3" t="s">
        <v>35</v>
      </c>
      <c r="M62" s="3" t="s">
        <v>36</v>
      </c>
      <c r="N62" s="11">
        <v>865.0</v>
      </c>
      <c r="O62" s="3" t="s">
        <v>37</v>
      </c>
    </row>
    <row r="63">
      <c r="A63" s="3" t="s">
        <v>451</v>
      </c>
      <c r="B63" s="3" t="s">
        <v>22</v>
      </c>
      <c r="C63" s="3" t="s">
        <v>23</v>
      </c>
      <c r="D63" s="3" t="s">
        <v>25</v>
      </c>
      <c r="E63" s="5">
        <v>46142.756944444445</v>
      </c>
      <c r="F63" s="3" t="s">
        <v>117</v>
      </c>
      <c r="G63" s="3" t="s">
        <v>452</v>
      </c>
      <c r="H63" s="3" t="s">
        <v>453</v>
      </c>
      <c r="I63" s="9" t="s">
        <v>454</v>
      </c>
      <c r="J63" s="10">
        <v>8102025.0</v>
      </c>
      <c r="K63" s="10">
        <v>3122012.0</v>
      </c>
      <c r="L63" s="3" t="s">
        <v>35</v>
      </c>
      <c r="M63" s="3" t="s">
        <v>36</v>
      </c>
      <c r="N63" s="11">
        <v>865.0</v>
      </c>
      <c r="O63" s="3" t="s">
        <v>37</v>
      </c>
    </row>
    <row r="64">
      <c r="A64" s="3" t="s">
        <v>459</v>
      </c>
      <c r="B64" s="3" t="s">
        <v>22</v>
      </c>
      <c r="C64" s="3" t="s">
        <v>23</v>
      </c>
      <c r="D64" s="3" t="s">
        <v>25</v>
      </c>
      <c r="E64" s="5">
        <v>46142.756944444445</v>
      </c>
      <c r="F64" s="3" t="s">
        <v>117</v>
      </c>
      <c r="G64" s="3" t="s">
        <v>460</v>
      </c>
      <c r="H64" s="3" t="s">
        <v>461</v>
      </c>
      <c r="I64" s="9" t="s">
        <v>462</v>
      </c>
      <c r="J64" s="10">
        <v>8102025.0</v>
      </c>
      <c r="K64" s="10">
        <v>3122012.0</v>
      </c>
      <c r="L64" s="3" t="s">
        <v>35</v>
      </c>
      <c r="M64" s="3" t="s">
        <v>36</v>
      </c>
      <c r="N64" s="11">
        <v>865.0</v>
      </c>
      <c r="O64" s="3" t="s">
        <v>37</v>
      </c>
    </row>
    <row r="65">
      <c r="A65" s="3" t="s">
        <v>137</v>
      </c>
      <c r="B65" s="3" t="s">
        <v>22</v>
      </c>
      <c r="C65" s="3" t="s">
        <v>23</v>
      </c>
      <c r="D65" s="3" t="s">
        <v>25</v>
      </c>
      <c r="E65" s="5">
        <v>46142.75625</v>
      </c>
      <c r="F65" s="3" t="s">
        <v>117</v>
      </c>
      <c r="G65" s="3" t="s">
        <v>139</v>
      </c>
      <c r="H65" s="3" t="s">
        <v>138</v>
      </c>
      <c r="I65" s="9" t="s">
        <v>467</v>
      </c>
      <c r="J65" s="10">
        <v>8102025.0</v>
      </c>
      <c r="K65" s="10">
        <v>3122012.0</v>
      </c>
      <c r="L65" s="3" t="s">
        <v>35</v>
      </c>
      <c r="M65" s="3" t="s">
        <v>36</v>
      </c>
      <c r="N65" s="11">
        <v>865.0</v>
      </c>
      <c r="O65" s="3" t="s">
        <v>37</v>
      </c>
    </row>
    <row r="66">
      <c r="A66" s="3" t="s">
        <v>354</v>
      </c>
      <c r="B66" s="3" t="s">
        <v>22</v>
      </c>
      <c r="C66" s="3" t="s">
        <v>23</v>
      </c>
      <c r="D66" s="3" t="s">
        <v>25</v>
      </c>
      <c r="E66" s="5">
        <v>46142.756944444445</v>
      </c>
      <c r="F66" s="3" t="s">
        <v>26</v>
      </c>
      <c r="G66" s="3" t="s">
        <v>356</v>
      </c>
      <c r="H66" s="3" t="s">
        <v>355</v>
      </c>
      <c r="I66" s="9" t="s">
        <v>472</v>
      </c>
      <c r="J66" s="10">
        <v>8102025.0</v>
      </c>
      <c r="K66" s="10">
        <v>5122012.0</v>
      </c>
      <c r="L66" s="3" t="s">
        <v>35</v>
      </c>
      <c r="M66" s="3" t="s">
        <v>36</v>
      </c>
      <c r="N66" s="11">
        <v>865.0</v>
      </c>
      <c r="O66" s="3" t="s">
        <v>37</v>
      </c>
    </row>
    <row r="67">
      <c r="A67" s="3" t="s">
        <v>477</v>
      </c>
      <c r="B67" s="3" t="s">
        <v>22</v>
      </c>
      <c r="C67" s="3" t="s">
        <v>23</v>
      </c>
      <c r="D67" s="3" t="s">
        <v>25</v>
      </c>
      <c r="E67" s="5">
        <v>46142.756944444445</v>
      </c>
      <c r="F67" s="3" t="s">
        <v>117</v>
      </c>
      <c r="G67" s="3" t="s">
        <v>478</v>
      </c>
      <c r="H67" s="3" t="s">
        <v>479</v>
      </c>
      <c r="I67" s="9" t="s">
        <v>480</v>
      </c>
      <c r="J67" s="10">
        <v>8102025.0</v>
      </c>
      <c r="K67" s="10">
        <v>5122012.0</v>
      </c>
      <c r="L67" s="3" t="s">
        <v>35</v>
      </c>
      <c r="M67" s="3" t="s">
        <v>36</v>
      </c>
      <c r="N67" s="11">
        <v>865.0</v>
      </c>
      <c r="O67" s="3" t="s">
        <v>37</v>
      </c>
    </row>
    <row r="68">
      <c r="A68" s="3" t="s">
        <v>485</v>
      </c>
      <c r="B68" s="3" t="s">
        <v>22</v>
      </c>
      <c r="C68" s="3" t="s">
        <v>23</v>
      </c>
      <c r="D68" s="3" t="s">
        <v>25</v>
      </c>
      <c r="E68" s="5">
        <v>46142.756944444445</v>
      </c>
      <c r="F68" s="3" t="s">
        <v>117</v>
      </c>
      <c r="G68" s="3" t="s">
        <v>486</v>
      </c>
      <c r="H68" s="3" t="s">
        <v>487</v>
      </c>
      <c r="I68" s="9" t="s">
        <v>488</v>
      </c>
      <c r="J68" s="10">
        <v>8102025.0</v>
      </c>
      <c r="K68" s="10">
        <v>5122012.0</v>
      </c>
      <c r="L68" s="3" t="s">
        <v>35</v>
      </c>
      <c r="M68" s="3" t="s">
        <v>36</v>
      </c>
      <c r="N68" s="11">
        <v>865.0</v>
      </c>
      <c r="O68" s="3" t="s">
        <v>37</v>
      </c>
    </row>
    <row r="69">
      <c r="A69" s="3" t="s">
        <v>493</v>
      </c>
      <c r="B69" s="3" t="s">
        <v>22</v>
      </c>
      <c r="C69" s="3" t="s">
        <v>23</v>
      </c>
      <c r="D69" s="3" t="s">
        <v>25</v>
      </c>
      <c r="E69" s="5">
        <v>46142.756944444445</v>
      </c>
      <c r="F69" s="3" t="s">
        <v>117</v>
      </c>
      <c r="G69" s="3" t="s">
        <v>494</v>
      </c>
      <c r="H69" s="3" t="s">
        <v>495</v>
      </c>
      <c r="I69" s="9" t="s">
        <v>496</v>
      </c>
      <c r="J69" s="10">
        <v>8102025.0</v>
      </c>
      <c r="K69" s="10">
        <v>5122012.0</v>
      </c>
      <c r="L69" s="3" t="s">
        <v>35</v>
      </c>
      <c r="M69" s="3" t="s">
        <v>36</v>
      </c>
      <c r="N69" s="11">
        <v>865.0</v>
      </c>
      <c r="O69" s="3" t="s">
        <v>37</v>
      </c>
    </row>
    <row r="70">
      <c r="A70" s="3" t="s">
        <v>499</v>
      </c>
      <c r="B70" s="3" t="s">
        <v>22</v>
      </c>
      <c r="C70" s="3" t="s">
        <v>23</v>
      </c>
      <c r="D70" s="3" t="s">
        <v>25</v>
      </c>
      <c r="E70" s="5">
        <v>46142.756944444445</v>
      </c>
      <c r="F70" s="3" t="s">
        <v>117</v>
      </c>
      <c r="G70" s="3" t="s">
        <v>502</v>
      </c>
      <c r="H70" s="3" t="s">
        <v>503</v>
      </c>
      <c r="I70" s="9" t="s">
        <v>504</v>
      </c>
      <c r="J70" s="10">
        <v>8102025.0</v>
      </c>
      <c r="K70" s="10">
        <v>5122012.0</v>
      </c>
      <c r="L70" s="3" t="s">
        <v>35</v>
      </c>
      <c r="M70" s="3" t="s">
        <v>36</v>
      </c>
      <c r="N70" s="11">
        <v>865.0</v>
      </c>
      <c r="O70" s="3" t="s">
        <v>37</v>
      </c>
    </row>
    <row r="71">
      <c r="A71" s="3" t="s">
        <v>506</v>
      </c>
      <c r="B71" s="3" t="s">
        <v>22</v>
      </c>
      <c r="C71" s="3" t="s">
        <v>23</v>
      </c>
      <c r="D71" s="3" t="s">
        <v>25</v>
      </c>
      <c r="E71" s="5">
        <v>46142.756944444445</v>
      </c>
      <c r="F71" s="3" t="s">
        <v>117</v>
      </c>
      <c r="G71" s="3" t="s">
        <v>510</v>
      </c>
      <c r="H71" s="3" t="s">
        <v>511</v>
      </c>
      <c r="I71" s="9" t="s">
        <v>512</v>
      </c>
      <c r="J71" s="10">
        <v>8102025.0</v>
      </c>
      <c r="K71" s="10">
        <v>5122012.0</v>
      </c>
      <c r="L71" s="3" t="s">
        <v>35</v>
      </c>
      <c r="M71" s="3" t="s">
        <v>36</v>
      </c>
      <c r="N71" s="11">
        <v>865.0</v>
      </c>
      <c r="O71" s="3" t="s">
        <v>37</v>
      </c>
    </row>
    <row r="72">
      <c r="A72" s="3" t="s">
        <v>43</v>
      </c>
      <c r="B72" s="3" t="s">
        <v>22</v>
      </c>
      <c r="C72" s="3" t="s">
        <v>23</v>
      </c>
      <c r="D72" s="3" t="s">
        <v>25</v>
      </c>
      <c r="E72" s="5">
        <v>46142.756944444445</v>
      </c>
      <c r="F72" s="3" t="s">
        <v>48</v>
      </c>
      <c r="G72" s="3" t="s">
        <v>45</v>
      </c>
      <c r="H72" s="3" t="s">
        <v>44</v>
      </c>
      <c r="I72" s="9" t="s">
        <v>517</v>
      </c>
      <c r="J72" s="10">
        <v>8102025.0</v>
      </c>
      <c r="K72" s="10">
        <v>7122012.0</v>
      </c>
      <c r="L72" s="3" t="s">
        <v>35</v>
      </c>
      <c r="M72" s="3" t="s">
        <v>36</v>
      </c>
      <c r="N72" s="11">
        <v>865.0</v>
      </c>
      <c r="O72" s="3" t="s">
        <v>37</v>
      </c>
    </row>
    <row r="73">
      <c r="A73" s="3" t="s">
        <v>518</v>
      </c>
      <c r="B73" s="3" t="s">
        <v>22</v>
      </c>
      <c r="C73" s="3" t="s">
        <v>23</v>
      </c>
      <c r="D73" s="3" t="s">
        <v>25</v>
      </c>
      <c r="E73" s="5">
        <v>46142.756944444445</v>
      </c>
      <c r="F73" s="3" t="s">
        <v>48</v>
      </c>
      <c r="G73" s="3" t="s">
        <v>520</v>
      </c>
      <c r="H73" s="3" t="s">
        <v>521</v>
      </c>
      <c r="I73" s="9" t="s">
        <v>522</v>
      </c>
      <c r="J73" s="10">
        <v>8102025.0</v>
      </c>
      <c r="K73" s="10">
        <v>7122012.0</v>
      </c>
      <c r="L73" s="3" t="s">
        <v>35</v>
      </c>
      <c r="M73" s="3" t="s">
        <v>36</v>
      </c>
      <c r="N73" s="11">
        <v>865.0</v>
      </c>
      <c r="O73" s="3" t="s">
        <v>37</v>
      </c>
    </row>
    <row r="74">
      <c r="A74" s="3" t="s">
        <v>526</v>
      </c>
      <c r="B74" s="3" t="s">
        <v>22</v>
      </c>
      <c r="C74" s="3" t="s">
        <v>23</v>
      </c>
      <c r="D74" s="3" t="s">
        <v>25</v>
      </c>
      <c r="E74" s="5">
        <v>46142.756944444445</v>
      </c>
      <c r="F74" s="3" t="s">
        <v>117</v>
      </c>
      <c r="G74" s="3" t="s">
        <v>528</v>
      </c>
      <c r="H74" s="3" t="s">
        <v>529</v>
      </c>
      <c r="I74" s="9" t="s">
        <v>530</v>
      </c>
      <c r="J74" s="10">
        <v>8102025.0</v>
      </c>
      <c r="K74" s="10">
        <v>2012013.0</v>
      </c>
      <c r="L74" s="3" t="s">
        <v>35</v>
      </c>
      <c r="M74" s="3" t="s">
        <v>36</v>
      </c>
      <c r="N74" s="11">
        <v>865.0</v>
      </c>
      <c r="O74" s="3" t="s">
        <v>37</v>
      </c>
    </row>
    <row r="75">
      <c r="A75" s="3" t="s">
        <v>89</v>
      </c>
      <c r="B75" s="3" t="s">
        <v>22</v>
      </c>
      <c r="C75" s="3" t="s">
        <v>23</v>
      </c>
      <c r="D75" s="3" t="s">
        <v>25</v>
      </c>
      <c r="E75" s="5">
        <v>46142.756944444445</v>
      </c>
      <c r="F75" s="3" t="s">
        <v>26</v>
      </c>
      <c r="G75" s="3" t="s">
        <v>93</v>
      </c>
      <c r="H75" s="3" t="s">
        <v>92</v>
      </c>
      <c r="I75" s="9" t="s">
        <v>534</v>
      </c>
      <c r="J75" s="10">
        <v>8102025.0</v>
      </c>
      <c r="K75" s="10">
        <v>2012013.0</v>
      </c>
      <c r="L75" s="3" t="s">
        <v>35</v>
      </c>
      <c r="M75" s="3" t="s">
        <v>36</v>
      </c>
      <c r="N75" s="11">
        <v>865.0</v>
      </c>
      <c r="O75" s="3" t="s">
        <v>37</v>
      </c>
    </row>
    <row r="76">
      <c r="A76" s="3" t="s">
        <v>540</v>
      </c>
      <c r="B76" s="3" t="s">
        <v>22</v>
      </c>
      <c r="C76" s="3" t="s">
        <v>23</v>
      </c>
      <c r="D76" s="3" t="s">
        <v>25</v>
      </c>
      <c r="E76" s="5">
        <v>46142.756944444445</v>
      </c>
      <c r="F76" s="3" t="s">
        <v>26</v>
      </c>
      <c r="G76" s="3" t="s">
        <v>541</v>
      </c>
      <c r="H76" s="3" t="s">
        <v>542</v>
      </c>
      <c r="I76" s="9" t="s">
        <v>543</v>
      </c>
      <c r="J76" s="10">
        <v>8102025.0</v>
      </c>
      <c r="K76" s="10">
        <v>2012013.0</v>
      </c>
      <c r="L76" s="3" t="s">
        <v>35</v>
      </c>
      <c r="M76" s="3" t="s">
        <v>36</v>
      </c>
      <c r="N76" s="11">
        <v>865.0</v>
      </c>
      <c r="O76" s="3" t="s">
        <v>37</v>
      </c>
    </row>
    <row r="77">
      <c r="A77" s="3" t="s">
        <v>548</v>
      </c>
      <c r="B77" s="3" t="s">
        <v>22</v>
      </c>
      <c r="C77" s="3" t="s">
        <v>23</v>
      </c>
      <c r="D77" s="3" t="s">
        <v>25</v>
      </c>
      <c r="E77" s="5">
        <v>46142.756944444445</v>
      </c>
      <c r="F77" s="3" t="s">
        <v>26</v>
      </c>
      <c r="G77" s="3" t="s">
        <v>549</v>
      </c>
      <c r="H77" s="3" t="s">
        <v>550</v>
      </c>
      <c r="I77" s="9" t="s">
        <v>551</v>
      </c>
      <c r="J77" s="10">
        <v>8102025.0</v>
      </c>
      <c r="K77" s="10">
        <v>2012013.0</v>
      </c>
      <c r="L77" s="3" t="s">
        <v>35</v>
      </c>
      <c r="M77" s="3" t="s">
        <v>36</v>
      </c>
      <c r="N77" s="11">
        <v>865.0</v>
      </c>
      <c r="O77" s="3" t="s">
        <v>37</v>
      </c>
    </row>
    <row r="78">
      <c r="A78" s="3" t="s">
        <v>447</v>
      </c>
      <c r="B78" s="3" t="s">
        <v>22</v>
      </c>
      <c r="C78" s="3" t="s">
        <v>23</v>
      </c>
      <c r="D78" s="3" t="s">
        <v>25</v>
      </c>
      <c r="E78" s="5">
        <v>46142.756944444445</v>
      </c>
      <c r="F78" s="3" t="s">
        <v>48</v>
      </c>
      <c r="G78" s="3" t="s">
        <v>449</v>
      </c>
      <c r="H78" s="3" t="s">
        <v>448</v>
      </c>
      <c r="I78" s="9" t="s">
        <v>556</v>
      </c>
      <c r="J78" s="10">
        <v>8102025.0</v>
      </c>
      <c r="K78" s="10">
        <v>2012013.0</v>
      </c>
      <c r="L78" s="3" t="s">
        <v>35</v>
      </c>
      <c r="M78" s="3" t="s">
        <v>36</v>
      </c>
      <c r="N78" s="11">
        <v>865.0</v>
      </c>
      <c r="O78" s="3" t="s">
        <v>37</v>
      </c>
    </row>
    <row r="79">
      <c r="A79" s="3" t="s">
        <v>79</v>
      </c>
      <c r="B79" s="3" t="s">
        <v>22</v>
      </c>
      <c r="C79" s="3" t="s">
        <v>23</v>
      </c>
      <c r="D79" s="3" t="s">
        <v>25</v>
      </c>
      <c r="E79" s="5">
        <v>46142.756944444445</v>
      </c>
      <c r="F79" s="3" t="s">
        <v>26</v>
      </c>
      <c r="G79" s="3" t="s">
        <v>81</v>
      </c>
      <c r="H79" s="3" t="s">
        <v>80</v>
      </c>
      <c r="I79" s="9" t="s">
        <v>561</v>
      </c>
      <c r="J79" s="10">
        <v>8102025.0</v>
      </c>
      <c r="K79" s="10">
        <v>2012013.0</v>
      </c>
      <c r="L79" s="3" t="s">
        <v>35</v>
      </c>
      <c r="M79" s="3" t="s">
        <v>36</v>
      </c>
      <c r="N79" s="11">
        <v>865.0</v>
      </c>
      <c r="O79" s="3" t="s">
        <v>37</v>
      </c>
    </row>
    <row r="80">
      <c r="A80" s="3" t="s">
        <v>97</v>
      </c>
      <c r="B80" s="3" t="s">
        <v>22</v>
      </c>
      <c r="C80" s="3" t="s">
        <v>23</v>
      </c>
      <c r="D80" s="3" t="s">
        <v>25</v>
      </c>
      <c r="E80" s="5">
        <v>46142.756944444445</v>
      </c>
      <c r="F80" s="3" t="s">
        <v>26</v>
      </c>
      <c r="G80" s="3" t="s">
        <v>101</v>
      </c>
      <c r="H80" s="3" t="s">
        <v>100</v>
      </c>
      <c r="I80" s="9" t="s">
        <v>566</v>
      </c>
      <c r="J80" s="10">
        <v>8102025.0</v>
      </c>
      <c r="K80" s="10">
        <v>2012013.0</v>
      </c>
      <c r="L80" s="3" t="s">
        <v>35</v>
      </c>
      <c r="M80" s="3" t="s">
        <v>36</v>
      </c>
      <c r="N80" s="11">
        <v>865.0</v>
      </c>
      <c r="O80" s="3" t="s">
        <v>37</v>
      </c>
    </row>
    <row r="81">
      <c r="A81" s="3" t="s">
        <v>430</v>
      </c>
      <c r="B81" s="3" t="s">
        <v>22</v>
      </c>
      <c r="C81" s="3" t="s">
        <v>23</v>
      </c>
      <c r="D81" s="3" t="s">
        <v>25</v>
      </c>
      <c r="E81" s="5">
        <v>46142.756944444445</v>
      </c>
      <c r="F81" s="3" t="s">
        <v>48</v>
      </c>
      <c r="G81" s="3" t="s">
        <v>432</v>
      </c>
      <c r="H81" s="3" t="s">
        <v>431</v>
      </c>
      <c r="I81" s="9" t="s">
        <v>571</v>
      </c>
      <c r="J81" s="10">
        <v>8102025.0</v>
      </c>
      <c r="K81" s="10">
        <v>2012013.0</v>
      </c>
      <c r="L81" s="3" t="s">
        <v>35</v>
      </c>
      <c r="M81" s="3" t="s">
        <v>36</v>
      </c>
      <c r="N81" s="11">
        <v>865.0</v>
      </c>
      <c r="O81" s="3" t="s">
        <v>37</v>
      </c>
    </row>
    <row r="82">
      <c r="A82" s="3" t="s">
        <v>552</v>
      </c>
      <c r="B82" s="3" t="s">
        <v>22</v>
      </c>
      <c r="C82" s="3" t="s">
        <v>23</v>
      </c>
      <c r="D82" s="3" t="s">
        <v>25</v>
      </c>
      <c r="E82" s="5">
        <v>46142.756944444445</v>
      </c>
      <c r="F82" s="3" t="s">
        <v>48</v>
      </c>
      <c r="G82" s="3" t="s">
        <v>554</v>
      </c>
      <c r="H82" s="3" t="s">
        <v>553</v>
      </c>
      <c r="I82" s="9" t="s">
        <v>576</v>
      </c>
      <c r="J82" s="10">
        <v>8102025.0</v>
      </c>
      <c r="K82" s="10">
        <v>3012013.0</v>
      </c>
      <c r="L82" s="3" t="s">
        <v>35</v>
      </c>
      <c r="M82" s="3" t="s">
        <v>36</v>
      </c>
      <c r="N82" s="11">
        <v>865.0</v>
      </c>
      <c r="O82" s="3" t="s">
        <v>37</v>
      </c>
    </row>
    <row r="83">
      <c r="A83" s="3" t="s">
        <v>147</v>
      </c>
      <c r="B83" s="3" t="s">
        <v>22</v>
      </c>
      <c r="C83" s="3" t="s">
        <v>23</v>
      </c>
      <c r="D83" s="3" t="s">
        <v>25</v>
      </c>
      <c r="E83" s="5">
        <v>46142.756944444445</v>
      </c>
      <c r="F83" s="3" t="s">
        <v>48</v>
      </c>
      <c r="G83" s="3" t="s">
        <v>149</v>
      </c>
      <c r="H83" s="3" t="s">
        <v>148</v>
      </c>
      <c r="I83" s="9" t="s">
        <v>581</v>
      </c>
      <c r="J83" s="10">
        <v>8102025.0</v>
      </c>
      <c r="K83" s="10">
        <v>3012013.0</v>
      </c>
      <c r="L83" s="3" t="s">
        <v>35</v>
      </c>
      <c r="M83" s="3" t="s">
        <v>36</v>
      </c>
      <c r="N83" s="11">
        <v>865.0</v>
      </c>
      <c r="O83" s="3" t="s">
        <v>37</v>
      </c>
    </row>
    <row r="84">
      <c r="A84" s="3" t="s">
        <v>583</v>
      </c>
      <c r="B84" s="3" t="s">
        <v>22</v>
      </c>
      <c r="C84" s="3" t="s">
        <v>23</v>
      </c>
      <c r="D84" s="3" t="s">
        <v>25</v>
      </c>
      <c r="E84" s="5">
        <v>46142.756944444445</v>
      </c>
      <c r="F84" s="3" t="s">
        <v>117</v>
      </c>
      <c r="G84" s="3" t="s">
        <v>587</v>
      </c>
      <c r="H84" s="3" t="s">
        <v>588</v>
      </c>
      <c r="I84" s="9" t="s">
        <v>589</v>
      </c>
      <c r="J84" s="10">
        <v>8102025.0</v>
      </c>
      <c r="K84" s="10">
        <v>3012013.0</v>
      </c>
      <c r="L84" s="3" t="s">
        <v>35</v>
      </c>
      <c r="M84" s="3" t="s">
        <v>36</v>
      </c>
      <c r="N84" s="11">
        <v>865.0</v>
      </c>
      <c r="O84" s="3" t="s">
        <v>37</v>
      </c>
    </row>
    <row r="85">
      <c r="A85" s="3" t="s">
        <v>590</v>
      </c>
      <c r="B85" s="3" t="s">
        <v>22</v>
      </c>
      <c r="C85" s="3" t="s">
        <v>23</v>
      </c>
      <c r="D85" s="3" t="s">
        <v>25</v>
      </c>
      <c r="E85" s="5">
        <v>46142.756944444445</v>
      </c>
      <c r="F85" s="3" t="s">
        <v>48</v>
      </c>
      <c r="G85" s="3" t="s">
        <v>592</v>
      </c>
      <c r="H85" s="3" t="s">
        <v>594</v>
      </c>
      <c r="I85" s="9" t="s">
        <v>595</v>
      </c>
      <c r="J85" s="10">
        <v>8102025.0</v>
      </c>
      <c r="K85" s="10">
        <v>3012013.0</v>
      </c>
      <c r="L85" s="3" t="s">
        <v>35</v>
      </c>
      <c r="M85" s="3" t="s">
        <v>36</v>
      </c>
      <c r="N85" s="11">
        <v>865.0</v>
      </c>
      <c r="O85" s="3" t="s">
        <v>37</v>
      </c>
    </row>
    <row r="86">
      <c r="A86" s="3" t="s">
        <v>598</v>
      </c>
      <c r="B86" s="3" t="s">
        <v>22</v>
      </c>
      <c r="C86" s="3" t="s">
        <v>23</v>
      </c>
      <c r="D86" s="3" t="s">
        <v>25</v>
      </c>
      <c r="E86" s="5">
        <v>46142.756944444445</v>
      </c>
      <c r="F86" s="3" t="s">
        <v>48</v>
      </c>
      <c r="G86" s="3" t="s">
        <v>600</v>
      </c>
      <c r="H86" s="3" t="s">
        <v>601</v>
      </c>
      <c r="I86" s="9" t="s">
        <v>603</v>
      </c>
      <c r="J86" s="10">
        <v>8102025.0</v>
      </c>
      <c r="K86" s="10">
        <v>3012013.0</v>
      </c>
      <c r="L86" s="3" t="s">
        <v>35</v>
      </c>
      <c r="M86" s="3" t="s">
        <v>36</v>
      </c>
      <c r="N86" s="11">
        <v>865.0</v>
      </c>
      <c r="O86" s="3" t="s">
        <v>37</v>
      </c>
    </row>
    <row r="87">
      <c r="A87" s="3" t="s">
        <v>245</v>
      </c>
      <c r="B87" s="3" t="s">
        <v>22</v>
      </c>
      <c r="C87" s="3" t="s">
        <v>23</v>
      </c>
      <c r="D87" s="3" t="s">
        <v>25</v>
      </c>
      <c r="E87" s="5">
        <v>46142.756944444445</v>
      </c>
      <c r="F87" s="3" t="s">
        <v>26</v>
      </c>
      <c r="G87" s="3" t="s">
        <v>247</v>
      </c>
      <c r="H87" s="3" t="s">
        <v>246</v>
      </c>
      <c r="I87" s="9" t="s">
        <v>608</v>
      </c>
      <c r="J87" s="10">
        <v>8102025.0</v>
      </c>
      <c r="K87" s="10">
        <v>3012013.0</v>
      </c>
      <c r="L87" s="3" t="s">
        <v>35</v>
      </c>
      <c r="M87" s="3" t="s">
        <v>36</v>
      </c>
      <c r="N87" s="11">
        <v>865.0</v>
      </c>
      <c r="O87" s="3" t="s">
        <v>37</v>
      </c>
    </row>
    <row r="88">
      <c r="A88" s="3" t="s">
        <v>173</v>
      </c>
      <c r="B88" s="3" t="s">
        <v>22</v>
      </c>
      <c r="C88" s="3" t="s">
        <v>23</v>
      </c>
      <c r="D88" s="3" t="s">
        <v>25</v>
      </c>
      <c r="E88" s="5">
        <v>46142.756944444445</v>
      </c>
      <c r="F88" s="3" t="s">
        <v>48</v>
      </c>
      <c r="G88" s="3" t="s">
        <v>175</v>
      </c>
      <c r="H88" s="3" t="s">
        <v>174</v>
      </c>
      <c r="I88" s="9" t="s">
        <v>612</v>
      </c>
      <c r="J88" s="10">
        <v>8102025.0</v>
      </c>
      <c r="K88" s="10">
        <v>3012013.0</v>
      </c>
      <c r="L88" s="3" t="s">
        <v>35</v>
      </c>
      <c r="M88" s="3" t="s">
        <v>36</v>
      </c>
      <c r="N88" s="11">
        <v>865.0</v>
      </c>
      <c r="O88" s="3" t="s">
        <v>37</v>
      </c>
    </row>
    <row r="89">
      <c r="A89" s="3" t="s">
        <v>617</v>
      </c>
      <c r="B89" s="3" t="s">
        <v>22</v>
      </c>
      <c r="C89" s="3" t="s">
        <v>23</v>
      </c>
      <c r="D89" s="3" t="s">
        <v>25</v>
      </c>
      <c r="E89" s="5">
        <v>46142.756944444445</v>
      </c>
      <c r="F89" s="3" t="s">
        <v>26</v>
      </c>
      <c r="G89" s="3" t="s">
        <v>619</v>
      </c>
      <c r="H89" s="3" t="s">
        <v>621</v>
      </c>
      <c r="I89" s="9" t="s">
        <v>623</v>
      </c>
      <c r="J89" s="10">
        <v>8102025.0</v>
      </c>
      <c r="K89" s="10">
        <v>3012013.0</v>
      </c>
      <c r="L89" s="3" t="s">
        <v>35</v>
      </c>
      <c r="M89" s="3" t="s">
        <v>36</v>
      </c>
      <c r="N89" s="11">
        <v>865.0</v>
      </c>
      <c r="O89" s="3" t="s">
        <v>37</v>
      </c>
    </row>
    <row r="90">
      <c r="A90" s="3" t="s">
        <v>625</v>
      </c>
      <c r="B90" s="3" t="s">
        <v>22</v>
      </c>
      <c r="C90" s="3" t="s">
        <v>23</v>
      </c>
      <c r="D90" s="3" t="s">
        <v>25</v>
      </c>
      <c r="E90" s="5">
        <v>46142.756944444445</v>
      </c>
      <c r="F90" s="3" t="s">
        <v>48</v>
      </c>
      <c r="G90" s="3" t="s">
        <v>629</v>
      </c>
      <c r="H90" s="3" t="s">
        <v>630</v>
      </c>
      <c r="I90" s="9" t="s">
        <v>631</v>
      </c>
      <c r="J90" s="10">
        <v>8102025.0</v>
      </c>
      <c r="K90" s="10">
        <v>3012013.0</v>
      </c>
      <c r="L90" s="3" t="s">
        <v>35</v>
      </c>
      <c r="M90" s="3" t="s">
        <v>36</v>
      </c>
      <c r="N90" s="11">
        <v>865.0</v>
      </c>
      <c r="O90" s="3" t="s">
        <v>37</v>
      </c>
    </row>
    <row r="91">
      <c r="A91" s="3" t="s">
        <v>253</v>
      </c>
      <c r="B91" s="3" t="s">
        <v>22</v>
      </c>
      <c r="C91" s="3" t="s">
        <v>23</v>
      </c>
      <c r="D91" s="3" t="s">
        <v>25</v>
      </c>
      <c r="E91" s="5">
        <v>46142.756944444445</v>
      </c>
      <c r="F91" s="3" t="s">
        <v>26</v>
      </c>
      <c r="G91" s="3" t="s">
        <v>255</v>
      </c>
      <c r="H91" s="3" t="s">
        <v>254</v>
      </c>
      <c r="I91" s="9" t="s">
        <v>636</v>
      </c>
      <c r="J91" s="10">
        <v>8102025.0</v>
      </c>
      <c r="K91" s="10">
        <v>3012013.0</v>
      </c>
      <c r="L91" s="3" t="s">
        <v>35</v>
      </c>
      <c r="M91" s="3" t="s">
        <v>36</v>
      </c>
      <c r="N91" s="11">
        <v>865.0</v>
      </c>
      <c r="O91" s="3" t="s">
        <v>37</v>
      </c>
    </row>
    <row r="92">
      <c r="A92" s="3" t="s">
        <v>142</v>
      </c>
      <c r="B92" s="3" t="s">
        <v>22</v>
      </c>
      <c r="C92" s="3" t="s">
        <v>23</v>
      </c>
      <c r="D92" s="3" t="s">
        <v>25</v>
      </c>
      <c r="E92" s="5">
        <v>46142.756944444445</v>
      </c>
      <c r="F92" s="3" t="s">
        <v>26</v>
      </c>
      <c r="G92" s="3" t="s">
        <v>144</v>
      </c>
      <c r="H92" s="3" t="s">
        <v>143</v>
      </c>
      <c r="I92" s="9" t="s">
        <v>641</v>
      </c>
      <c r="J92" s="10">
        <v>8102025.0</v>
      </c>
      <c r="K92" s="10">
        <v>3012013.0</v>
      </c>
      <c r="L92" s="3" t="s">
        <v>35</v>
      </c>
      <c r="M92" s="3" t="s">
        <v>36</v>
      </c>
      <c r="N92" s="11">
        <v>865.0</v>
      </c>
      <c r="O92" s="3" t="s">
        <v>37</v>
      </c>
    </row>
    <row r="93">
      <c r="A93" s="3" t="s">
        <v>155</v>
      </c>
      <c r="B93" s="3" t="s">
        <v>22</v>
      </c>
      <c r="C93" s="3" t="s">
        <v>23</v>
      </c>
      <c r="D93" s="3" t="s">
        <v>25</v>
      </c>
      <c r="E93" s="5">
        <v>46142.756944444445</v>
      </c>
      <c r="F93" s="3" t="s">
        <v>26</v>
      </c>
      <c r="G93" s="3" t="s">
        <v>157</v>
      </c>
      <c r="H93" s="3" t="s">
        <v>156</v>
      </c>
      <c r="I93" s="9" t="s">
        <v>646</v>
      </c>
      <c r="J93" s="10">
        <v>8102025.0</v>
      </c>
      <c r="K93" s="10">
        <v>3012013.0</v>
      </c>
      <c r="L93" s="3" t="s">
        <v>35</v>
      </c>
      <c r="M93" s="3" t="s">
        <v>36</v>
      </c>
      <c r="N93" s="11">
        <v>865.0</v>
      </c>
      <c r="O93" s="3" t="s">
        <v>37</v>
      </c>
    </row>
    <row r="94">
      <c r="A94" s="3" t="s">
        <v>651</v>
      </c>
      <c r="B94" s="3" t="s">
        <v>22</v>
      </c>
      <c r="C94" s="3" t="s">
        <v>23</v>
      </c>
      <c r="D94" s="3" t="s">
        <v>25</v>
      </c>
      <c r="E94" s="5">
        <v>46142.756944444445</v>
      </c>
      <c r="F94" s="3" t="s">
        <v>26</v>
      </c>
      <c r="G94" s="3" t="s">
        <v>652</v>
      </c>
      <c r="H94" s="3" t="s">
        <v>653</v>
      </c>
      <c r="I94" s="9" t="s">
        <v>654</v>
      </c>
      <c r="J94" s="10">
        <v>8102025.0</v>
      </c>
      <c r="K94" s="10">
        <v>4012013.0</v>
      </c>
      <c r="L94" s="3" t="s">
        <v>35</v>
      </c>
      <c r="M94" s="3" t="s">
        <v>36</v>
      </c>
      <c r="N94" s="11">
        <v>865.0</v>
      </c>
      <c r="O94" s="3" t="s">
        <v>37</v>
      </c>
    </row>
    <row r="95">
      <c r="A95" s="3" t="s">
        <v>62</v>
      </c>
      <c r="B95" s="3" t="s">
        <v>22</v>
      </c>
      <c r="C95" s="3" t="s">
        <v>23</v>
      </c>
      <c r="D95" s="3" t="s">
        <v>25</v>
      </c>
      <c r="E95" s="5">
        <v>46142.756944444445</v>
      </c>
      <c r="F95" s="3" t="s">
        <v>26</v>
      </c>
      <c r="G95" s="3" t="s">
        <v>66</v>
      </c>
      <c r="H95" s="3" t="s">
        <v>64</v>
      </c>
      <c r="I95" s="9" t="s">
        <v>659</v>
      </c>
      <c r="J95" s="10">
        <v>8102025.0</v>
      </c>
      <c r="K95" s="10">
        <v>4012013.0</v>
      </c>
      <c r="L95" s="3" t="s">
        <v>35</v>
      </c>
      <c r="M95" s="3" t="s">
        <v>36</v>
      </c>
      <c r="N95" s="11">
        <v>865.0</v>
      </c>
      <c r="O95" s="3" t="s">
        <v>37</v>
      </c>
    </row>
    <row r="96">
      <c r="A96" s="3" t="s">
        <v>285</v>
      </c>
      <c r="B96" s="3" t="s">
        <v>22</v>
      </c>
      <c r="C96" s="3" t="s">
        <v>23</v>
      </c>
      <c r="D96" s="3" t="s">
        <v>25</v>
      </c>
      <c r="E96" s="5">
        <v>46142.756944444445</v>
      </c>
      <c r="F96" s="3" t="s">
        <v>26</v>
      </c>
      <c r="G96" s="3" t="s">
        <v>287</v>
      </c>
      <c r="H96" s="3" t="s">
        <v>286</v>
      </c>
      <c r="I96" s="9" t="s">
        <v>664</v>
      </c>
      <c r="J96" s="10">
        <v>8102025.0</v>
      </c>
      <c r="K96" s="10">
        <v>4012013.0</v>
      </c>
      <c r="L96" s="3" t="s">
        <v>35</v>
      </c>
      <c r="M96" s="3" t="s">
        <v>36</v>
      </c>
      <c r="N96" s="11">
        <v>865.0</v>
      </c>
      <c r="O96" s="3" t="s">
        <v>37</v>
      </c>
    </row>
    <row r="97">
      <c r="A97" s="3" t="s">
        <v>669</v>
      </c>
      <c r="B97" s="3" t="s">
        <v>22</v>
      </c>
      <c r="C97" s="3" t="s">
        <v>23</v>
      </c>
      <c r="D97" s="3" t="s">
        <v>25</v>
      </c>
      <c r="E97" s="5">
        <v>46142.756944444445</v>
      </c>
      <c r="F97" s="3" t="s">
        <v>117</v>
      </c>
      <c r="G97" s="3" t="s">
        <v>670</v>
      </c>
      <c r="H97" s="3" t="s">
        <v>671</v>
      </c>
      <c r="I97" s="9" t="s">
        <v>672</v>
      </c>
      <c r="J97" s="10">
        <v>8102025.0</v>
      </c>
      <c r="K97" s="10">
        <v>4012013.0</v>
      </c>
      <c r="L97" s="3" t="s">
        <v>35</v>
      </c>
      <c r="M97" s="3" t="s">
        <v>36</v>
      </c>
      <c r="N97" s="11">
        <v>865.0</v>
      </c>
      <c r="O97" s="3" t="s">
        <v>37</v>
      </c>
    </row>
    <row r="98">
      <c r="A98" s="3" t="s">
        <v>677</v>
      </c>
      <c r="B98" s="3" t="s">
        <v>22</v>
      </c>
      <c r="C98" s="3" t="s">
        <v>23</v>
      </c>
      <c r="D98" s="3" t="s">
        <v>25</v>
      </c>
      <c r="E98" s="5">
        <v>46142.756944444445</v>
      </c>
      <c r="F98" s="3" t="s">
        <v>117</v>
      </c>
      <c r="G98" s="3" t="s">
        <v>678</v>
      </c>
      <c r="H98" s="3" t="s">
        <v>679</v>
      </c>
      <c r="I98" s="9" t="s">
        <v>680</v>
      </c>
      <c r="J98" s="10">
        <v>8102025.0</v>
      </c>
      <c r="K98" s="10">
        <v>4012013.0</v>
      </c>
      <c r="L98" s="3" t="s">
        <v>35</v>
      </c>
      <c r="M98" s="3" t="s">
        <v>36</v>
      </c>
      <c r="N98" s="11">
        <v>865.0</v>
      </c>
      <c r="O98" s="3" t="s">
        <v>37</v>
      </c>
    </row>
    <row r="99">
      <c r="A99" s="3" t="s">
        <v>685</v>
      </c>
      <c r="B99" s="3" t="s">
        <v>22</v>
      </c>
      <c r="C99" s="3" t="s">
        <v>23</v>
      </c>
      <c r="D99" s="3" t="s">
        <v>25</v>
      </c>
      <c r="E99" s="5">
        <v>46142.756944444445</v>
      </c>
      <c r="F99" s="3" t="s">
        <v>48</v>
      </c>
      <c r="G99" s="3" t="s">
        <v>686</v>
      </c>
      <c r="H99" s="3" t="s">
        <v>687</v>
      </c>
      <c r="I99" s="9" t="s">
        <v>688</v>
      </c>
      <c r="J99" s="10">
        <v>8102025.0</v>
      </c>
      <c r="K99" s="10">
        <v>4012013.0</v>
      </c>
      <c r="L99" s="3" t="s">
        <v>35</v>
      </c>
      <c r="M99" s="3" t="s">
        <v>36</v>
      </c>
      <c r="N99" s="11">
        <v>865.0</v>
      </c>
      <c r="O99" s="3" t="s">
        <v>37</v>
      </c>
    </row>
    <row r="100">
      <c r="A100" s="3" t="s">
        <v>165</v>
      </c>
      <c r="B100" s="3" t="s">
        <v>22</v>
      </c>
      <c r="C100" s="3" t="s">
        <v>23</v>
      </c>
      <c r="D100" s="3" t="s">
        <v>25</v>
      </c>
      <c r="E100" s="5">
        <v>46142.756944444445</v>
      </c>
      <c r="F100" s="3" t="s">
        <v>26</v>
      </c>
      <c r="G100" s="3" t="s">
        <v>167</v>
      </c>
      <c r="H100" s="3" t="s">
        <v>166</v>
      </c>
      <c r="I100" s="9" t="s">
        <v>693</v>
      </c>
      <c r="J100" s="10">
        <v>8102025.0</v>
      </c>
      <c r="K100" s="10">
        <v>1.7012013E7</v>
      </c>
      <c r="L100" s="3" t="s">
        <v>35</v>
      </c>
      <c r="M100" s="3" t="s">
        <v>36</v>
      </c>
      <c r="N100" s="11">
        <v>865.0</v>
      </c>
      <c r="O100" s="3" t="s">
        <v>37</v>
      </c>
    </row>
    <row r="101">
      <c r="A101" s="3" t="s">
        <v>30</v>
      </c>
      <c r="B101" s="3" t="s">
        <v>22</v>
      </c>
      <c r="C101" s="3" t="s">
        <v>23</v>
      </c>
      <c r="D101" s="3" t="s">
        <v>25</v>
      </c>
      <c r="E101" s="5">
        <v>46142.756944444445</v>
      </c>
      <c r="F101" s="3" t="s">
        <v>26</v>
      </c>
      <c r="G101" s="3" t="s">
        <v>33</v>
      </c>
      <c r="H101" s="3" t="s">
        <v>32</v>
      </c>
      <c r="I101" s="9" t="s">
        <v>698</v>
      </c>
      <c r="J101" s="10">
        <v>8102025.0</v>
      </c>
      <c r="K101" s="10">
        <v>8022013.0</v>
      </c>
      <c r="L101" s="3" t="s">
        <v>35</v>
      </c>
      <c r="M101" s="3" t="s">
        <v>36</v>
      </c>
      <c r="N101" s="11">
        <v>865.0</v>
      </c>
      <c r="O101" s="3" t="s">
        <v>37</v>
      </c>
    </row>
    <row r="102">
      <c r="A102" s="3" t="s">
        <v>298</v>
      </c>
      <c r="B102" s="3" t="s">
        <v>22</v>
      </c>
      <c r="C102" s="3" t="s">
        <v>23</v>
      </c>
      <c r="D102" s="3" t="s">
        <v>25</v>
      </c>
      <c r="E102" s="5">
        <v>46142.756944444445</v>
      </c>
      <c r="F102" s="3" t="s">
        <v>26</v>
      </c>
      <c r="G102" s="3" t="s">
        <v>300</v>
      </c>
      <c r="H102" s="3" t="s">
        <v>299</v>
      </c>
      <c r="I102" s="9" t="s">
        <v>703</v>
      </c>
      <c r="J102" s="10">
        <v>8102025.0</v>
      </c>
      <c r="K102" s="10">
        <v>8022013.0</v>
      </c>
      <c r="L102" s="3" t="s">
        <v>35</v>
      </c>
      <c r="M102" s="3" t="s">
        <v>36</v>
      </c>
      <c r="N102" s="11">
        <v>865.0</v>
      </c>
      <c r="O102" s="3" t="s">
        <v>37</v>
      </c>
    </row>
    <row r="103">
      <c r="A103" s="3" t="s">
        <v>408</v>
      </c>
      <c r="B103" s="3" t="s">
        <v>22</v>
      </c>
      <c r="C103" s="3" t="s">
        <v>23</v>
      </c>
      <c r="D103" s="3" t="s">
        <v>25</v>
      </c>
      <c r="E103" s="5">
        <v>46142.756944444445</v>
      </c>
      <c r="F103" s="3" t="s">
        <v>26</v>
      </c>
      <c r="G103" s="3" t="s">
        <v>410</v>
      </c>
      <c r="H103" s="3" t="s">
        <v>409</v>
      </c>
      <c r="I103" s="9" t="s">
        <v>708</v>
      </c>
      <c r="J103" s="10">
        <v>8102025.0</v>
      </c>
      <c r="K103" s="10">
        <v>8022013.0</v>
      </c>
      <c r="L103" s="3" t="s">
        <v>35</v>
      </c>
      <c r="M103" s="3" t="s">
        <v>36</v>
      </c>
      <c r="N103" s="11">
        <v>865.0</v>
      </c>
      <c r="O103" s="3" t="s">
        <v>37</v>
      </c>
    </row>
    <row r="104">
      <c r="A104" s="3" t="s">
        <v>400</v>
      </c>
      <c r="B104" s="3" t="s">
        <v>22</v>
      </c>
      <c r="C104" s="3" t="s">
        <v>23</v>
      </c>
      <c r="D104" s="3" t="s">
        <v>25</v>
      </c>
      <c r="E104" s="5">
        <v>46142.756944444445</v>
      </c>
      <c r="F104" s="3" t="s">
        <v>26</v>
      </c>
      <c r="G104" s="3" t="s">
        <v>402</v>
      </c>
      <c r="H104" s="3" t="s">
        <v>401</v>
      </c>
      <c r="I104" s="9" t="s">
        <v>713</v>
      </c>
      <c r="J104" s="10">
        <v>8102025.0</v>
      </c>
      <c r="K104" s="10">
        <v>8022013.0</v>
      </c>
      <c r="L104" s="3" t="s">
        <v>35</v>
      </c>
      <c r="M104" s="3" t="s">
        <v>36</v>
      </c>
      <c r="N104" s="11">
        <v>865.0</v>
      </c>
      <c r="O104" s="3" t="s">
        <v>37</v>
      </c>
    </row>
    <row r="105">
      <c r="A105" s="3" t="s">
        <v>378</v>
      </c>
      <c r="B105" s="3" t="s">
        <v>22</v>
      </c>
      <c r="C105" s="3" t="s">
        <v>23</v>
      </c>
      <c r="D105" s="3" t="s">
        <v>25</v>
      </c>
      <c r="E105" s="5">
        <v>46142.756944444445</v>
      </c>
      <c r="F105" s="3" t="s">
        <v>26</v>
      </c>
      <c r="G105" s="3" t="s">
        <v>380</v>
      </c>
      <c r="H105" s="3" t="s">
        <v>379</v>
      </c>
      <c r="I105" s="9" t="s">
        <v>715</v>
      </c>
      <c r="J105" s="10">
        <v>8102025.0</v>
      </c>
      <c r="K105" s="10">
        <v>8022013.0</v>
      </c>
      <c r="L105" s="3" t="s">
        <v>35</v>
      </c>
      <c r="M105" s="3" t="s">
        <v>36</v>
      </c>
      <c r="N105" s="11">
        <v>865.0</v>
      </c>
      <c r="O105" s="3" t="s">
        <v>37</v>
      </c>
    </row>
    <row r="106">
      <c r="A106" s="3" t="s">
        <v>370</v>
      </c>
      <c r="B106" s="3" t="s">
        <v>22</v>
      </c>
      <c r="C106" s="3" t="s">
        <v>23</v>
      </c>
      <c r="D106" s="3" t="s">
        <v>25</v>
      </c>
      <c r="E106" s="5">
        <v>46142.756944444445</v>
      </c>
      <c r="F106" s="3" t="s">
        <v>26</v>
      </c>
      <c r="G106" s="3" t="s">
        <v>372</v>
      </c>
      <c r="H106" s="3" t="s">
        <v>371</v>
      </c>
      <c r="I106" s="9" t="s">
        <v>720</v>
      </c>
      <c r="J106" s="10">
        <v>8102025.0</v>
      </c>
      <c r="K106" s="10">
        <v>8022013.0</v>
      </c>
      <c r="L106" s="3" t="s">
        <v>35</v>
      </c>
      <c r="M106" s="3" t="s">
        <v>36</v>
      </c>
      <c r="N106" s="11">
        <v>865.0</v>
      </c>
      <c r="O106" s="3" t="s">
        <v>37</v>
      </c>
    </row>
    <row r="107">
      <c r="A107" s="3" t="s">
        <v>53</v>
      </c>
      <c r="B107" s="3" t="s">
        <v>22</v>
      </c>
      <c r="C107" s="3" t="s">
        <v>23</v>
      </c>
      <c r="D107" s="3" t="s">
        <v>25</v>
      </c>
      <c r="E107" s="5">
        <v>46142.756944444445</v>
      </c>
      <c r="F107" s="3" t="s">
        <v>26</v>
      </c>
      <c r="G107" s="3" t="s">
        <v>56</v>
      </c>
      <c r="H107" s="3" t="s">
        <v>54</v>
      </c>
      <c r="I107" s="9" t="s">
        <v>725</v>
      </c>
      <c r="J107" s="10">
        <v>8102025.0</v>
      </c>
      <c r="K107" s="10">
        <v>8022013.0</v>
      </c>
      <c r="L107" s="3" t="s">
        <v>35</v>
      </c>
      <c r="M107" s="3" t="s">
        <v>36</v>
      </c>
      <c r="N107" s="11">
        <v>865.0</v>
      </c>
      <c r="O107" s="3" t="s">
        <v>37</v>
      </c>
    </row>
    <row r="108">
      <c r="A108" s="3" t="s">
        <v>727</v>
      </c>
      <c r="B108" s="3" t="s">
        <v>22</v>
      </c>
      <c r="C108" s="3" t="s">
        <v>23</v>
      </c>
      <c r="D108" s="3" t="s">
        <v>25</v>
      </c>
      <c r="E108" s="5">
        <v>46142.756944444445</v>
      </c>
      <c r="F108" s="3" t="s">
        <v>26</v>
      </c>
      <c r="G108" s="3" t="s">
        <v>728</v>
      </c>
      <c r="H108" s="3" t="s">
        <v>729</v>
      </c>
      <c r="I108" s="9" t="s">
        <v>730</v>
      </c>
      <c r="J108" s="10">
        <v>8102025.0</v>
      </c>
      <c r="K108" s="10">
        <v>8022013.0</v>
      </c>
      <c r="L108" s="3" t="s">
        <v>35</v>
      </c>
      <c r="M108" s="3" t="s">
        <v>36</v>
      </c>
      <c r="N108" s="11">
        <v>865.0</v>
      </c>
      <c r="O108" s="3" t="s">
        <v>37</v>
      </c>
    </row>
    <row r="109">
      <c r="A109" s="3" t="s">
        <v>732</v>
      </c>
      <c r="B109" s="3" t="s">
        <v>22</v>
      </c>
      <c r="C109" s="3" t="s">
        <v>23</v>
      </c>
      <c r="D109" s="3" t="s">
        <v>25</v>
      </c>
      <c r="E109" s="5">
        <v>46142.756944444445</v>
      </c>
      <c r="F109" s="3" t="s">
        <v>48</v>
      </c>
      <c r="G109" s="3" t="s">
        <v>733</v>
      </c>
      <c r="H109" s="3" t="s">
        <v>734</v>
      </c>
      <c r="I109" s="9" t="s">
        <v>735</v>
      </c>
      <c r="J109" s="10">
        <v>2.1102025E7</v>
      </c>
      <c r="K109" s="10">
        <v>8022013.0</v>
      </c>
      <c r="L109" s="3" t="s">
        <v>35</v>
      </c>
      <c r="M109" s="3" t="s">
        <v>36</v>
      </c>
      <c r="N109" s="11">
        <v>865.0</v>
      </c>
      <c r="O109" s="3" t="s">
        <v>37</v>
      </c>
    </row>
    <row r="110">
      <c r="A110" s="3" t="s">
        <v>269</v>
      </c>
      <c r="B110" s="3" t="s">
        <v>22</v>
      </c>
      <c r="C110" s="3" t="s">
        <v>23</v>
      </c>
      <c r="D110" s="3" t="s">
        <v>25</v>
      </c>
      <c r="E110" s="5">
        <v>46142.756944444445</v>
      </c>
      <c r="F110" s="3" t="s">
        <v>26</v>
      </c>
      <c r="G110" s="3" t="s">
        <v>271</v>
      </c>
      <c r="H110" s="3" t="s">
        <v>270</v>
      </c>
      <c r="I110" s="9" t="s">
        <v>736</v>
      </c>
      <c r="J110" s="10">
        <v>2.1102025E7</v>
      </c>
      <c r="K110" s="10">
        <v>8022013.0</v>
      </c>
      <c r="L110" s="3" t="s">
        <v>35</v>
      </c>
      <c r="M110" s="3" t="s">
        <v>36</v>
      </c>
      <c r="N110" s="11">
        <v>865.0</v>
      </c>
      <c r="O110" s="3" t="s">
        <v>37</v>
      </c>
    </row>
    <row r="111">
      <c r="A111" s="3" t="s">
        <v>416</v>
      </c>
      <c r="B111" s="3" t="s">
        <v>22</v>
      </c>
      <c r="C111" s="3" t="s">
        <v>23</v>
      </c>
      <c r="D111" s="3" t="s">
        <v>25</v>
      </c>
      <c r="E111" s="5">
        <v>46142.756944444445</v>
      </c>
      <c r="F111" s="3" t="s">
        <v>48</v>
      </c>
      <c r="G111" s="3" t="s">
        <v>418</v>
      </c>
      <c r="H111" s="3" t="s">
        <v>417</v>
      </c>
      <c r="I111" s="9" t="s">
        <v>739</v>
      </c>
      <c r="J111" s="10">
        <v>8102025.0</v>
      </c>
      <c r="K111" s="10">
        <v>1.0022013E7</v>
      </c>
      <c r="L111" s="3" t="s">
        <v>35</v>
      </c>
      <c r="M111" s="3" t="s">
        <v>36</v>
      </c>
      <c r="N111" s="11">
        <v>865.0</v>
      </c>
      <c r="O111" s="3" t="s">
        <v>37</v>
      </c>
    </row>
    <row r="112">
      <c r="A112" s="3" t="s">
        <v>425</v>
      </c>
      <c r="B112" s="3" t="s">
        <v>22</v>
      </c>
      <c r="C112" s="3" t="s">
        <v>23</v>
      </c>
      <c r="D112" s="3" t="s">
        <v>25</v>
      </c>
      <c r="E112" s="5">
        <v>46142.756944444445</v>
      </c>
      <c r="F112" s="3" t="s">
        <v>48</v>
      </c>
      <c r="G112" s="3" t="s">
        <v>427</v>
      </c>
      <c r="H112" s="3" t="s">
        <v>426</v>
      </c>
      <c r="I112" s="9" t="s">
        <v>741</v>
      </c>
      <c r="J112" s="10">
        <v>8102025.0</v>
      </c>
      <c r="K112" s="10">
        <v>1.0022013E7</v>
      </c>
      <c r="L112" s="3" t="s">
        <v>35</v>
      </c>
      <c r="M112" s="3" t="s">
        <v>36</v>
      </c>
      <c r="N112" s="11">
        <v>865.0</v>
      </c>
      <c r="O112" s="3" t="s">
        <v>37</v>
      </c>
    </row>
    <row r="113">
      <c r="A113" s="3" t="s">
        <v>221</v>
      </c>
      <c r="B113" s="3" t="s">
        <v>22</v>
      </c>
      <c r="C113" s="3" t="s">
        <v>23</v>
      </c>
      <c r="D113" s="3" t="s">
        <v>25</v>
      </c>
      <c r="E113" s="5">
        <v>46142.756944444445</v>
      </c>
      <c r="F113" s="3" t="s">
        <v>26</v>
      </c>
      <c r="G113" s="3" t="s">
        <v>226</v>
      </c>
      <c r="H113" s="3" t="s">
        <v>224</v>
      </c>
      <c r="I113" s="9" t="s">
        <v>743</v>
      </c>
      <c r="J113" s="10">
        <v>8102025.0</v>
      </c>
      <c r="K113" s="10">
        <v>1.0022013E7</v>
      </c>
      <c r="L113" s="3" t="s">
        <v>35</v>
      </c>
      <c r="M113" s="3" t="s">
        <v>36</v>
      </c>
      <c r="N113" s="11">
        <v>865.0</v>
      </c>
      <c r="O113" s="3" t="s">
        <v>37</v>
      </c>
    </row>
    <row r="114">
      <c r="A114" s="3" t="s">
        <v>330</v>
      </c>
      <c r="B114" s="3" t="s">
        <v>22</v>
      </c>
      <c r="C114" s="3" t="s">
        <v>23</v>
      </c>
      <c r="D114" s="3" t="s">
        <v>25</v>
      </c>
      <c r="E114" s="5">
        <v>46142.756944444445</v>
      </c>
      <c r="F114" s="3" t="s">
        <v>26</v>
      </c>
      <c r="G114" s="3" t="s">
        <v>335</v>
      </c>
      <c r="H114" s="3" t="s">
        <v>333</v>
      </c>
      <c r="I114" s="9" t="s">
        <v>745</v>
      </c>
      <c r="J114" s="10">
        <v>8102025.0</v>
      </c>
      <c r="K114" s="10">
        <v>1.1022013E7</v>
      </c>
      <c r="L114" s="3" t="s">
        <v>35</v>
      </c>
      <c r="M114" s="3" t="s">
        <v>36</v>
      </c>
      <c r="N114" s="11">
        <v>865.0</v>
      </c>
      <c r="O114" s="3" t="s">
        <v>37</v>
      </c>
    </row>
    <row r="115">
      <c r="A115" s="3" t="s">
        <v>747</v>
      </c>
      <c r="B115" s="3" t="s">
        <v>22</v>
      </c>
      <c r="C115" s="3" t="s">
        <v>23</v>
      </c>
      <c r="D115" s="3" t="s">
        <v>25</v>
      </c>
      <c r="E115" s="5">
        <v>46142.756944444445</v>
      </c>
      <c r="F115" s="3" t="s">
        <v>26</v>
      </c>
      <c r="G115" s="3" t="s">
        <v>749</v>
      </c>
      <c r="H115" s="3" t="s">
        <v>750</v>
      </c>
      <c r="I115" s="9" t="s">
        <v>751</v>
      </c>
      <c r="J115" s="10">
        <v>8102025.0</v>
      </c>
      <c r="K115" s="10">
        <v>1.1022013E7</v>
      </c>
      <c r="L115" s="3" t="s">
        <v>35</v>
      </c>
      <c r="M115" s="3" t="s">
        <v>36</v>
      </c>
      <c r="N115" s="11">
        <v>865.0</v>
      </c>
      <c r="O115" s="3" t="s">
        <v>37</v>
      </c>
    </row>
    <row r="116">
      <c r="A116" s="3" t="s">
        <v>361</v>
      </c>
      <c r="B116" s="3" t="s">
        <v>22</v>
      </c>
      <c r="C116" s="3" t="s">
        <v>23</v>
      </c>
      <c r="D116" s="3" t="s">
        <v>25</v>
      </c>
      <c r="E116" s="5">
        <v>46142.756944444445</v>
      </c>
      <c r="F116" s="3" t="s">
        <v>26</v>
      </c>
      <c r="G116" s="3" t="s">
        <v>364</v>
      </c>
      <c r="H116" s="3" t="s">
        <v>363</v>
      </c>
      <c r="I116" s="9" t="s">
        <v>753</v>
      </c>
      <c r="J116" s="10">
        <v>8102025.0</v>
      </c>
      <c r="K116" s="10">
        <v>1.1022013E7</v>
      </c>
      <c r="L116" s="3" t="s">
        <v>35</v>
      </c>
      <c r="M116" s="3" t="s">
        <v>36</v>
      </c>
      <c r="N116" s="11">
        <v>865.0</v>
      </c>
      <c r="O116" s="3" t="s">
        <v>37</v>
      </c>
    </row>
    <row r="117">
      <c r="A117" s="3" t="s">
        <v>755</v>
      </c>
      <c r="B117" s="3" t="s">
        <v>22</v>
      </c>
      <c r="C117" s="3" t="s">
        <v>23</v>
      </c>
      <c r="D117" s="3" t="s">
        <v>25</v>
      </c>
      <c r="E117" s="5">
        <v>46142.756944444445</v>
      </c>
      <c r="F117" s="3" t="s">
        <v>26</v>
      </c>
      <c r="G117" s="3" t="s">
        <v>756</v>
      </c>
      <c r="H117" s="3" t="s">
        <v>757</v>
      </c>
      <c r="I117" s="9" t="s">
        <v>758</v>
      </c>
      <c r="J117" s="10">
        <v>8102025.0</v>
      </c>
      <c r="K117" s="10">
        <v>1.1022013E7</v>
      </c>
      <c r="L117" s="3" t="s">
        <v>35</v>
      </c>
      <c r="M117" s="3" t="s">
        <v>36</v>
      </c>
      <c r="N117" s="11">
        <v>865.0</v>
      </c>
      <c r="O117" s="3" t="s">
        <v>37</v>
      </c>
    </row>
    <row r="118">
      <c r="A118" s="3" t="s">
        <v>229</v>
      </c>
      <c r="B118" s="3" t="s">
        <v>22</v>
      </c>
      <c r="C118" s="3" t="s">
        <v>23</v>
      </c>
      <c r="D118" s="3" t="s">
        <v>25</v>
      </c>
      <c r="E118" s="5">
        <v>46142.756944444445</v>
      </c>
      <c r="F118" s="3" t="s">
        <v>26</v>
      </c>
      <c r="G118" s="3" t="s">
        <v>234</v>
      </c>
      <c r="H118" s="3" t="s">
        <v>233</v>
      </c>
      <c r="I118" s="9" t="s">
        <v>763</v>
      </c>
      <c r="J118" s="10">
        <v>8102025.0</v>
      </c>
      <c r="K118" s="10">
        <v>1.1022013E7</v>
      </c>
      <c r="L118" s="3" t="s">
        <v>35</v>
      </c>
      <c r="M118" s="3" t="s">
        <v>36</v>
      </c>
      <c r="N118" s="11">
        <v>865.0</v>
      </c>
      <c r="O118" s="3" t="s">
        <v>37</v>
      </c>
    </row>
    <row r="119">
      <c r="A119" s="3" t="s">
        <v>436</v>
      </c>
      <c r="B119" s="3" t="s">
        <v>22</v>
      </c>
      <c r="C119" s="3" t="s">
        <v>23</v>
      </c>
      <c r="D119" s="3" t="s">
        <v>25</v>
      </c>
      <c r="E119" s="5">
        <v>46142.756944444445</v>
      </c>
      <c r="F119" s="3" t="s">
        <v>48</v>
      </c>
      <c r="G119" s="3" t="s">
        <v>438</v>
      </c>
      <c r="H119" s="3" t="s">
        <v>437</v>
      </c>
      <c r="I119" s="9" t="s">
        <v>765</v>
      </c>
      <c r="J119" s="10">
        <v>8102025.0</v>
      </c>
      <c r="K119" s="10">
        <v>1.1022013E7</v>
      </c>
      <c r="L119" s="3" t="s">
        <v>35</v>
      </c>
      <c r="M119" s="3" t="s">
        <v>36</v>
      </c>
      <c r="N119" s="11">
        <v>865.0</v>
      </c>
      <c r="O119" s="3" t="s">
        <v>37</v>
      </c>
    </row>
    <row r="120">
      <c r="A120" s="3" t="s">
        <v>768</v>
      </c>
      <c r="B120" s="3" t="s">
        <v>22</v>
      </c>
      <c r="C120" s="3" t="s">
        <v>23</v>
      </c>
      <c r="D120" s="3" t="s">
        <v>25</v>
      </c>
      <c r="E120" s="5">
        <v>46142.756944444445</v>
      </c>
      <c r="F120" s="3" t="s">
        <v>26</v>
      </c>
      <c r="G120" s="3" t="s">
        <v>769</v>
      </c>
      <c r="H120" s="3" t="s">
        <v>770</v>
      </c>
      <c r="I120" s="9" t="s">
        <v>771</v>
      </c>
      <c r="J120" s="10">
        <v>8102025.0</v>
      </c>
      <c r="K120" s="10">
        <v>1.1022013E7</v>
      </c>
      <c r="L120" s="3" t="s">
        <v>35</v>
      </c>
      <c r="M120" s="3" t="s">
        <v>36</v>
      </c>
      <c r="N120" s="11">
        <v>865.0</v>
      </c>
      <c r="O120" s="3" t="s">
        <v>37</v>
      </c>
    </row>
    <row r="121">
      <c r="A121" s="3" t="s">
        <v>773</v>
      </c>
      <c r="B121" s="3" t="s">
        <v>22</v>
      </c>
      <c r="C121" s="3" t="s">
        <v>23</v>
      </c>
      <c r="D121" s="3" t="s">
        <v>25</v>
      </c>
      <c r="E121" s="5">
        <v>46142.756944444445</v>
      </c>
      <c r="F121" s="3" t="s">
        <v>26</v>
      </c>
      <c r="G121" s="3" t="s">
        <v>774</v>
      </c>
      <c r="H121" s="3" t="s">
        <v>775</v>
      </c>
      <c r="I121" s="9" t="s">
        <v>776</v>
      </c>
      <c r="J121" s="10">
        <v>8102025.0</v>
      </c>
      <c r="K121" s="10">
        <v>1.1022013E7</v>
      </c>
      <c r="L121" s="3" t="s">
        <v>35</v>
      </c>
      <c r="M121" s="3" t="s">
        <v>36</v>
      </c>
      <c r="N121" s="11">
        <v>865.0</v>
      </c>
      <c r="O121" s="3" t="s">
        <v>37</v>
      </c>
    </row>
    <row r="122">
      <c r="A122" s="3" t="s">
        <v>339</v>
      </c>
      <c r="B122" s="3" t="s">
        <v>22</v>
      </c>
      <c r="C122" s="3" t="s">
        <v>23</v>
      </c>
      <c r="D122" s="3" t="s">
        <v>25</v>
      </c>
      <c r="E122" s="5">
        <v>46142.756944444445</v>
      </c>
      <c r="F122" s="3" t="s">
        <v>26</v>
      </c>
      <c r="G122" s="3" t="s">
        <v>343</v>
      </c>
      <c r="H122" s="3" t="s">
        <v>342</v>
      </c>
      <c r="I122" s="9" t="s">
        <v>778</v>
      </c>
      <c r="J122" s="10">
        <v>8102025.0</v>
      </c>
      <c r="K122" s="10">
        <v>1.1022013E7</v>
      </c>
      <c r="L122" s="3" t="s">
        <v>35</v>
      </c>
      <c r="M122" s="3" t="s">
        <v>36</v>
      </c>
      <c r="N122" s="11">
        <v>865.0</v>
      </c>
      <c r="O122" s="3" t="s">
        <v>37</v>
      </c>
    </row>
    <row r="123">
      <c r="A123" s="3" t="s">
        <v>780</v>
      </c>
      <c r="B123" s="3" t="s">
        <v>22</v>
      </c>
      <c r="C123" s="3" t="s">
        <v>23</v>
      </c>
      <c r="D123" s="3" t="s">
        <v>25</v>
      </c>
      <c r="E123" s="5">
        <v>46142.756944444445</v>
      </c>
      <c r="F123" s="3" t="s">
        <v>26</v>
      </c>
      <c r="G123" s="3" t="s">
        <v>781</v>
      </c>
      <c r="H123" s="3" t="s">
        <v>782</v>
      </c>
      <c r="I123" s="9" t="s">
        <v>784</v>
      </c>
      <c r="J123" s="10">
        <v>8102025.0</v>
      </c>
      <c r="K123" s="10">
        <v>1.1022013E7</v>
      </c>
      <c r="L123" s="3" t="s">
        <v>35</v>
      </c>
      <c r="M123" s="3" t="s">
        <v>36</v>
      </c>
      <c r="N123" s="11">
        <v>865.0</v>
      </c>
      <c r="O123" s="3" t="s">
        <v>37</v>
      </c>
    </row>
    <row r="124">
      <c r="A124" s="3" t="s">
        <v>785</v>
      </c>
      <c r="B124" s="3" t="s">
        <v>22</v>
      </c>
      <c r="C124" s="3" t="s">
        <v>23</v>
      </c>
      <c r="D124" s="3" t="s">
        <v>25</v>
      </c>
      <c r="E124" s="5">
        <v>46142.756944444445</v>
      </c>
      <c r="F124" s="3" t="s">
        <v>26</v>
      </c>
      <c r="G124" s="3" t="s">
        <v>786</v>
      </c>
      <c r="H124" s="3" t="s">
        <v>787</v>
      </c>
      <c r="I124" s="9" t="s">
        <v>788</v>
      </c>
      <c r="J124" s="10">
        <v>8102025.0</v>
      </c>
      <c r="K124" s="10">
        <v>1.1022013E7</v>
      </c>
      <c r="L124" s="3" t="s">
        <v>35</v>
      </c>
      <c r="M124" s="3" t="s">
        <v>36</v>
      </c>
      <c r="N124" s="11">
        <v>865.0</v>
      </c>
      <c r="O124" s="3" t="s">
        <v>37</v>
      </c>
    </row>
    <row r="125">
      <c r="A125" s="3" t="s">
        <v>261</v>
      </c>
      <c r="B125" s="3" t="s">
        <v>22</v>
      </c>
      <c r="C125" s="3" t="s">
        <v>23</v>
      </c>
      <c r="D125" s="3" t="s">
        <v>25</v>
      </c>
      <c r="E125" s="5">
        <v>46142.756944444445</v>
      </c>
      <c r="F125" s="3" t="s">
        <v>26</v>
      </c>
      <c r="G125" s="3" t="s">
        <v>263</v>
      </c>
      <c r="H125" s="3" t="s">
        <v>262</v>
      </c>
      <c r="I125" s="9" t="s">
        <v>790</v>
      </c>
      <c r="J125" s="10">
        <v>8102025.0</v>
      </c>
      <c r="K125" s="10">
        <v>1.1022013E7</v>
      </c>
      <c r="L125" s="3" t="s">
        <v>35</v>
      </c>
      <c r="M125" s="3" t="s">
        <v>36</v>
      </c>
      <c r="N125" s="11">
        <v>865.0</v>
      </c>
      <c r="O125" s="3" t="s">
        <v>37</v>
      </c>
    </row>
    <row r="126">
      <c r="A126" s="3" t="s">
        <v>792</v>
      </c>
      <c r="B126" s="3" t="s">
        <v>22</v>
      </c>
      <c r="C126" s="3" t="s">
        <v>23</v>
      </c>
      <c r="D126" s="3" t="s">
        <v>25</v>
      </c>
      <c r="E126" s="5">
        <v>46142.756944444445</v>
      </c>
      <c r="F126" s="3" t="s">
        <v>26</v>
      </c>
      <c r="G126" s="3" t="s">
        <v>793</v>
      </c>
      <c r="H126" s="3" t="s">
        <v>794</v>
      </c>
      <c r="I126" s="9" t="s">
        <v>795</v>
      </c>
      <c r="J126" s="10">
        <v>8102025.0</v>
      </c>
      <c r="K126" s="10">
        <v>1.1022013E7</v>
      </c>
      <c r="L126" s="3" t="s">
        <v>35</v>
      </c>
      <c r="M126" s="3" t="s">
        <v>36</v>
      </c>
      <c r="N126" s="11">
        <v>865.0</v>
      </c>
      <c r="O126" s="3" t="s">
        <v>37</v>
      </c>
    </row>
    <row r="127">
      <c r="A127" s="3" t="s">
        <v>797</v>
      </c>
      <c r="B127" s="3" t="s">
        <v>22</v>
      </c>
      <c r="C127" s="3" t="s">
        <v>23</v>
      </c>
      <c r="D127" s="3" t="s">
        <v>25</v>
      </c>
      <c r="E127" s="5">
        <v>46142.756944444445</v>
      </c>
      <c r="F127" s="3" t="s">
        <v>26</v>
      </c>
      <c r="G127" s="3" t="s">
        <v>798</v>
      </c>
      <c r="H127" s="3" t="s">
        <v>799</v>
      </c>
      <c r="I127" s="9" t="s">
        <v>800</v>
      </c>
      <c r="J127" s="10">
        <v>8102025.0</v>
      </c>
      <c r="K127" s="10">
        <v>1.1022013E7</v>
      </c>
      <c r="L127" s="3" t="s">
        <v>35</v>
      </c>
      <c r="M127" s="3" t="s">
        <v>36</v>
      </c>
      <c r="N127" s="11">
        <v>865.0</v>
      </c>
      <c r="O127" s="3" t="s">
        <v>37</v>
      </c>
    </row>
    <row r="128">
      <c r="A128" s="3" t="s">
        <v>803</v>
      </c>
      <c r="B128" s="3" t="s">
        <v>22</v>
      </c>
      <c r="C128" s="3" t="s">
        <v>23</v>
      </c>
      <c r="D128" s="3" t="s">
        <v>25</v>
      </c>
      <c r="E128" s="5">
        <v>46142.756944444445</v>
      </c>
      <c r="F128" s="3" t="s">
        <v>26</v>
      </c>
      <c r="G128" s="3" t="s">
        <v>804</v>
      </c>
      <c r="H128" s="3" t="s">
        <v>805</v>
      </c>
      <c r="I128" s="9" t="s">
        <v>806</v>
      </c>
      <c r="J128" s="10">
        <v>8102025.0</v>
      </c>
      <c r="K128" s="10">
        <v>1.1022013E7</v>
      </c>
      <c r="L128" s="3" t="s">
        <v>35</v>
      </c>
      <c r="M128" s="3" t="s">
        <v>36</v>
      </c>
      <c r="N128" s="11">
        <v>865.0</v>
      </c>
      <c r="O128" s="3" t="s">
        <v>37</v>
      </c>
    </row>
    <row r="129">
      <c r="A129" s="3" t="s">
        <v>808</v>
      </c>
      <c r="B129" s="3" t="s">
        <v>22</v>
      </c>
      <c r="C129" s="3" t="s">
        <v>23</v>
      </c>
      <c r="D129" s="3" t="s">
        <v>25</v>
      </c>
      <c r="E129" s="5">
        <v>46142.756944444445</v>
      </c>
      <c r="F129" s="3" t="s">
        <v>26</v>
      </c>
      <c r="G129" s="3" t="s">
        <v>809</v>
      </c>
      <c r="H129" s="3" t="s">
        <v>810</v>
      </c>
      <c r="I129" s="9" t="s">
        <v>811</v>
      </c>
      <c r="J129" s="10">
        <v>8102025.0</v>
      </c>
      <c r="K129" s="10">
        <v>1.1022013E7</v>
      </c>
      <c r="L129" s="3" t="s">
        <v>35</v>
      </c>
      <c r="M129" s="3" t="s">
        <v>36</v>
      </c>
      <c r="N129" s="11">
        <v>865.0</v>
      </c>
      <c r="O129" s="3" t="s">
        <v>37</v>
      </c>
    </row>
    <row r="130">
      <c r="A130" s="3" t="s">
        <v>813</v>
      </c>
      <c r="B130" s="3" t="s">
        <v>22</v>
      </c>
      <c r="C130" s="3" t="s">
        <v>23</v>
      </c>
      <c r="D130" s="3" t="s">
        <v>25</v>
      </c>
      <c r="E130" s="5">
        <v>46142.756944444445</v>
      </c>
      <c r="F130" s="3" t="s">
        <v>26</v>
      </c>
      <c r="G130" s="3" t="s">
        <v>814</v>
      </c>
      <c r="H130" s="3" t="s">
        <v>815</v>
      </c>
      <c r="I130" s="9" t="s">
        <v>816</v>
      </c>
      <c r="J130" s="10">
        <v>8102025.0</v>
      </c>
      <c r="K130" s="10">
        <v>1.1022013E7</v>
      </c>
      <c r="L130" s="3" t="s">
        <v>35</v>
      </c>
      <c r="M130" s="3" t="s">
        <v>36</v>
      </c>
      <c r="N130" s="11">
        <v>865.0</v>
      </c>
      <c r="O130" s="3" t="s">
        <v>37</v>
      </c>
    </row>
    <row r="131">
      <c r="A131" s="3" t="s">
        <v>818</v>
      </c>
      <c r="B131" s="3" t="s">
        <v>22</v>
      </c>
      <c r="C131" s="3" t="s">
        <v>23</v>
      </c>
      <c r="D131" s="3" t="s">
        <v>25</v>
      </c>
      <c r="E131" s="5">
        <v>46142.756944444445</v>
      </c>
      <c r="F131" s="3" t="s">
        <v>26</v>
      </c>
      <c r="G131" s="3" t="s">
        <v>819</v>
      </c>
      <c r="H131" s="3" t="s">
        <v>820</v>
      </c>
      <c r="I131" s="9" t="s">
        <v>821</v>
      </c>
      <c r="J131" s="10">
        <v>8102025.0</v>
      </c>
      <c r="K131" s="10">
        <v>1.1022013E7</v>
      </c>
      <c r="L131" s="3" t="s">
        <v>35</v>
      </c>
      <c r="M131" s="3" t="s">
        <v>36</v>
      </c>
      <c r="N131" s="11">
        <v>865.0</v>
      </c>
      <c r="O131" s="3" t="s">
        <v>37</v>
      </c>
    </row>
    <row r="132">
      <c r="A132" s="3" t="s">
        <v>823</v>
      </c>
      <c r="B132" s="3" t="s">
        <v>22</v>
      </c>
      <c r="C132" s="3" t="s">
        <v>23</v>
      </c>
      <c r="D132" s="3" t="s">
        <v>25</v>
      </c>
      <c r="E132" s="5">
        <v>46142.756944444445</v>
      </c>
      <c r="F132" s="3" t="s">
        <v>26</v>
      </c>
      <c r="G132" s="3" t="s">
        <v>824</v>
      </c>
      <c r="H132" s="3" t="s">
        <v>825</v>
      </c>
      <c r="I132" s="9" t="s">
        <v>826</v>
      </c>
      <c r="J132" s="10">
        <v>8102025.0</v>
      </c>
      <c r="K132" s="10">
        <v>1.2022013E7</v>
      </c>
      <c r="L132" s="3" t="s">
        <v>35</v>
      </c>
      <c r="M132" s="3" t="s">
        <v>36</v>
      </c>
      <c r="N132" s="11">
        <v>865.0</v>
      </c>
      <c r="O132" s="3" t="s">
        <v>37</v>
      </c>
    </row>
    <row r="133">
      <c r="A133" s="3" t="s">
        <v>759</v>
      </c>
      <c r="B133" s="3" t="s">
        <v>22</v>
      </c>
      <c r="C133" s="3" t="s">
        <v>23</v>
      </c>
      <c r="D133" s="3" t="s">
        <v>25</v>
      </c>
      <c r="E133" s="5">
        <v>46142.756944444445</v>
      </c>
      <c r="F133" s="3" t="s">
        <v>117</v>
      </c>
      <c r="G133" s="3" t="s">
        <v>761</v>
      </c>
      <c r="H133" s="3" t="s">
        <v>760</v>
      </c>
      <c r="I133" s="9" t="s">
        <v>827</v>
      </c>
      <c r="J133" s="10">
        <v>8102025.0</v>
      </c>
      <c r="K133" s="10">
        <v>1.2022013E7</v>
      </c>
      <c r="L133" s="3" t="s">
        <v>35</v>
      </c>
      <c r="M133" s="3" t="s">
        <v>36</v>
      </c>
      <c r="N133" s="11">
        <v>865.0</v>
      </c>
      <c r="O133" s="3" t="s">
        <v>37</v>
      </c>
    </row>
    <row r="134">
      <c r="A134" s="3" t="s">
        <v>829</v>
      </c>
      <c r="B134" s="3" t="s">
        <v>22</v>
      </c>
      <c r="C134" s="3" t="s">
        <v>23</v>
      </c>
      <c r="D134" s="3" t="s">
        <v>25</v>
      </c>
      <c r="E134" s="5">
        <v>46142.756944444445</v>
      </c>
      <c r="F134" s="3" t="s">
        <v>117</v>
      </c>
      <c r="G134" s="3" t="s">
        <v>830</v>
      </c>
      <c r="H134" s="3" t="s">
        <v>831</v>
      </c>
      <c r="I134" s="9" t="s">
        <v>832</v>
      </c>
      <c r="J134" s="10">
        <v>8102025.0</v>
      </c>
      <c r="K134" s="10">
        <v>1.2022013E7</v>
      </c>
      <c r="L134" s="3" t="s">
        <v>35</v>
      </c>
      <c r="M134" s="3" t="s">
        <v>36</v>
      </c>
      <c r="N134" s="11">
        <v>865.0</v>
      </c>
      <c r="O134" s="3" t="s">
        <v>37</v>
      </c>
    </row>
    <row r="135">
      <c r="A135" s="3" t="s">
        <v>317</v>
      </c>
      <c r="B135" s="3" t="s">
        <v>22</v>
      </c>
      <c r="C135" s="3" t="s">
        <v>23</v>
      </c>
      <c r="D135" s="3" t="s">
        <v>25</v>
      </c>
      <c r="E135" s="5">
        <v>46142.756944444445</v>
      </c>
      <c r="F135" s="3" t="s">
        <v>48</v>
      </c>
      <c r="G135" s="3" t="s">
        <v>322</v>
      </c>
      <c r="H135" s="3" t="s">
        <v>320</v>
      </c>
      <c r="I135" s="9" t="s">
        <v>834</v>
      </c>
      <c r="J135" s="10">
        <v>8102025.0</v>
      </c>
      <c r="K135" s="10">
        <v>1.2022013E7</v>
      </c>
      <c r="L135" s="3" t="s">
        <v>35</v>
      </c>
      <c r="M135" s="3" t="s">
        <v>36</v>
      </c>
      <c r="N135" s="11">
        <v>865.0</v>
      </c>
      <c r="O135" s="3" t="s">
        <v>37</v>
      </c>
    </row>
    <row r="136">
      <c r="A136" s="3" t="s">
        <v>835</v>
      </c>
      <c r="B136" s="3" t="s">
        <v>22</v>
      </c>
      <c r="C136" s="3" t="s">
        <v>23</v>
      </c>
      <c r="D136" s="3" t="s">
        <v>25</v>
      </c>
      <c r="E136" s="5">
        <v>46142.756944444445</v>
      </c>
      <c r="F136" s="3" t="s">
        <v>26</v>
      </c>
      <c r="G136" s="3" t="s">
        <v>836</v>
      </c>
      <c r="H136" s="3" t="s">
        <v>837</v>
      </c>
      <c r="I136" s="9" t="s">
        <v>838</v>
      </c>
      <c r="J136" s="10">
        <v>8102025.0</v>
      </c>
      <c r="K136" s="10">
        <v>1.8022013E7</v>
      </c>
      <c r="L136" s="3" t="s">
        <v>35</v>
      </c>
      <c r="M136" s="3" t="s">
        <v>36</v>
      </c>
      <c r="N136" s="11">
        <v>865.0</v>
      </c>
      <c r="O136" s="3" t="s">
        <v>37</v>
      </c>
    </row>
    <row r="137">
      <c r="A137" s="3" t="s">
        <v>840</v>
      </c>
      <c r="B137" s="3" t="s">
        <v>22</v>
      </c>
      <c r="C137" s="3" t="s">
        <v>23</v>
      </c>
      <c r="D137" s="3" t="s">
        <v>25</v>
      </c>
      <c r="E137" s="5">
        <v>46142.756944444445</v>
      </c>
      <c r="F137" s="3" t="s">
        <v>48</v>
      </c>
      <c r="G137" s="3" t="s">
        <v>841</v>
      </c>
      <c r="H137" s="3" t="s">
        <v>842</v>
      </c>
      <c r="I137" s="9" t="s">
        <v>843</v>
      </c>
      <c r="J137" s="10">
        <v>8102025.0</v>
      </c>
      <c r="K137" s="10">
        <v>1.8022013E7</v>
      </c>
      <c r="L137" s="3" t="s">
        <v>35</v>
      </c>
      <c r="M137" s="3" t="s">
        <v>36</v>
      </c>
      <c r="N137" s="11">
        <v>865.0</v>
      </c>
      <c r="O137" s="3" t="s">
        <v>37</v>
      </c>
    </row>
    <row r="138">
      <c r="A138" s="3" t="s">
        <v>394</v>
      </c>
      <c r="B138" s="3" t="s">
        <v>22</v>
      </c>
      <c r="C138" s="3" t="s">
        <v>23</v>
      </c>
      <c r="D138" s="3" t="s">
        <v>25</v>
      </c>
      <c r="E138" s="5">
        <v>46142.756944444445</v>
      </c>
      <c r="F138" s="3" t="s">
        <v>26</v>
      </c>
      <c r="G138" s="3" t="s">
        <v>397</v>
      </c>
      <c r="H138" s="3" t="s">
        <v>396</v>
      </c>
      <c r="I138" s="9" t="s">
        <v>845</v>
      </c>
      <c r="J138" s="10">
        <v>2.1102025E7</v>
      </c>
      <c r="K138" s="10">
        <v>1.8022013E7</v>
      </c>
      <c r="L138" s="3" t="s">
        <v>35</v>
      </c>
      <c r="M138" s="3" t="s">
        <v>36</v>
      </c>
      <c r="N138" s="11">
        <v>865.0</v>
      </c>
      <c r="O138" s="3" t="s">
        <v>37</v>
      </c>
    </row>
    <row r="139">
      <c r="A139" s="3" t="s">
        <v>847</v>
      </c>
      <c r="B139" s="3" t="s">
        <v>22</v>
      </c>
      <c r="C139" s="3" t="s">
        <v>23</v>
      </c>
      <c r="D139" s="3" t="s">
        <v>25</v>
      </c>
      <c r="E139" s="5">
        <v>46142.756944444445</v>
      </c>
      <c r="F139" s="3" t="s">
        <v>48</v>
      </c>
      <c r="G139" s="3" t="s">
        <v>848</v>
      </c>
      <c r="H139" s="3" t="s">
        <v>849</v>
      </c>
      <c r="I139" s="9" t="s">
        <v>850</v>
      </c>
      <c r="J139" s="10">
        <v>8102025.0</v>
      </c>
      <c r="K139" s="10">
        <v>2.0032013E7</v>
      </c>
      <c r="L139" s="3" t="s">
        <v>35</v>
      </c>
      <c r="M139" s="3" t="s">
        <v>36</v>
      </c>
      <c r="N139" s="11">
        <v>865.0</v>
      </c>
      <c r="O139" s="3" t="s">
        <v>37</v>
      </c>
    </row>
    <row r="140">
      <c r="A140" s="3" t="s">
        <v>852</v>
      </c>
      <c r="B140" s="3" t="s">
        <v>22</v>
      </c>
      <c r="C140" s="3" t="s">
        <v>23</v>
      </c>
      <c r="D140" s="3" t="s">
        <v>25</v>
      </c>
      <c r="E140" s="5">
        <v>46142.756944444445</v>
      </c>
      <c r="F140" s="3" t="s">
        <v>48</v>
      </c>
      <c r="G140" s="3" t="s">
        <v>853</v>
      </c>
      <c r="H140" s="3" t="s">
        <v>854</v>
      </c>
      <c r="I140" s="9" t="s">
        <v>855</v>
      </c>
      <c r="J140" s="10">
        <v>8102025.0</v>
      </c>
      <c r="K140" s="10">
        <v>2.0032013E7</v>
      </c>
      <c r="L140" s="3" t="s">
        <v>35</v>
      </c>
      <c r="M140" s="3" t="s">
        <v>36</v>
      </c>
      <c r="N140" s="11">
        <v>865.0</v>
      </c>
      <c r="O140" s="3" t="s">
        <v>37</v>
      </c>
    </row>
    <row r="141">
      <c r="A141" s="3" t="s">
        <v>859</v>
      </c>
      <c r="B141" s="3" t="s">
        <v>22</v>
      </c>
      <c r="C141" s="3" t="s">
        <v>23</v>
      </c>
      <c r="D141" s="3" t="s">
        <v>25</v>
      </c>
      <c r="E141" s="5">
        <v>46142.756944444445</v>
      </c>
      <c r="F141" s="3" t="s">
        <v>48</v>
      </c>
      <c r="G141" s="3" t="s">
        <v>860</v>
      </c>
      <c r="H141" s="3" t="s">
        <v>861</v>
      </c>
      <c r="I141" s="9" t="s">
        <v>862</v>
      </c>
      <c r="J141" s="10">
        <v>8102025.0</v>
      </c>
      <c r="K141" s="10">
        <v>2.0032013E7</v>
      </c>
      <c r="L141" s="3" t="s">
        <v>35</v>
      </c>
      <c r="M141" s="3" t="s">
        <v>36</v>
      </c>
      <c r="N141" s="11">
        <v>865.0</v>
      </c>
      <c r="O141" s="3" t="s">
        <v>37</v>
      </c>
    </row>
    <row r="142">
      <c r="A142" s="3" t="s">
        <v>864</v>
      </c>
      <c r="B142" s="3" t="s">
        <v>22</v>
      </c>
      <c r="C142" s="3" t="s">
        <v>23</v>
      </c>
      <c r="D142" s="3" t="s">
        <v>25</v>
      </c>
      <c r="E142" s="5">
        <v>46142.756944444445</v>
      </c>
      <c r="F142" s="3" t="s">
        <v>48</v>
      </c>
      <c r="G142" s="3" t="s">
        <v>865</v>
      </c>
      <c r="H142" s="3" t="s">
        <v>866</v>
      </c>
      <c r="I142" s="9" t="s">
        <v>867</v>
      </c>
      <c r="J142" s="10">
        <v>8102025.0</v>
      </c>
      <c r="K142" s="10">
        <v>2.0032013E7</v>
      </c>
      <c r="L142" s="3" t="s">
        <v>35</v>
      </c>
      <c r="M142" s="3" t="s">
        <v>36</v>
      </c>
      <c r="N142" s="11">
        <v>865.0</v>
      </c>
      <c r="O142" s="3" t="s">
        <v>37</v>
      </c>
    </row>
    <row r="143">
      <c r="A143" s="3" t="s">
        <v>513</v>
      </c>
      <c r="B143" s="3" t="s">
        <v>22</v>
      </c>
      <c r="C143" s="3" t="s">
        <v>23</v>
      </c>
      <c r="D143" s="3" t="s">
        <v>25</v>
      </c>
      <c r="E143" s="5">
        <v>46142.756944444445</v>
      </c>
      <c r="F143" s="3" t="s">
        <v>869</v>
      </c>
      <c r="G143" s="3" t="s">
        <v>515</v>
      </c>
      <c r="H143" s="3" t="s">
        <v>514</v>
      </c>
      <c r="I143" s="9" t="s">
        <v>870</v>
      </c>
      <c r="J143" s="10">
        <v>8102025.0</v>
      </c>
      <c r="K143" s="10">
        <v>1.9052015E7</v>
      </c>
      <c r="L143" s="3" t="s">
        <v>35</v>
      </c>
      <c r="M143" s="3" t="s">
        <v>36</v>
      </c>
      <c r="N143" s="11">
        <v>865.0</v>
      </c>
      <c r="O143" s="3" t="s">
        <v>37</v>
      </c>
    </row>
    <row r="144">
      <c r="A144" s="3" t="s">
        <v>505</v>
      </c>
      <c r="B144" s="3" t="s">
        <v>22</v>
      </c>
      <c r="C144" s="3" t="s">
        <v>23</v>
      </c>
      <c r="D144" s="3" t="s">
        <v>25</v>
      </c>
      <c r="E144" s="5">
        <v>46142.756944444445</v>
      </c>
      <c r="F144" s="3" t="s">
        <v>869</v>
      </c>
      <c r="G144" s="3" t="s">
        <v>508</v>
      </c>
      <c r="H144" s="3" t="s">
        <v>507</v>
      </c>
      <c r="I144" s="9" t="s">
        <v>872</v>
      </c>
      <c r="J144" s="10">
        <v>8102025.0</v>
      </c>
      <c r="K144" s="10">
        <v>1.9052015E7</v>
      </c>
      <c r="L144" s="3" t="s">
        <v>35</v>
      </c>
      <c r="M144" s="3" t="s">
        <v>36</v>
      </c>
      <c r="N144" s="11">
        <v>865.0</v>
      </c>
      <c r="O144" s="3" t="s">
        <v>37</v>
      </c>
    </row>
    <row r="145">
      <c r="A145" s="3" t="s">
        <v>455</v>
      </c>
      <c r="B145" s="3" t="s">
        <v>22</v>
      </c>
      <c r="C145" s="3" t="s">
        <v>23</v>
      </c>
      <c r="D145" s="3" t="s">
        <v>25</v>
      </c>
      <c r="E145" s="5">
        <v>46142.756944444445</v>
      </c>
      <c r="F145" s="3" t="s">
        <v>869</v>
      </c>
      <c r="G145" s="3" t="s">
        <v>457</v>
      </c>
      <c r="H145" s="3" t="s">
        <v>456</v>
      </c>
      <c r="I145" s="9" t="s">
        <v>874</v>
      </c>
      <c r="J145" s="10">
        <v>8102025.0</v>
      </c>
      <c r="K145" s="10">
        <v>1.9052015E7</v>
      </c>
      <c r="L145" s="3" t="s">
        <v>35</v>
      </c>
      <c r="M145" s="3" t="s">
        <v>36</v>
      </c>
      <c r="N145" s="11">
        <v>865.0</v>
      </c>
      <c r="O145" s="3" t="s">
        <v>37</v>
      </c>
    </row>
    <row r="146">
      <c r="A146" s="3" t="s">
        <v>473</v>
      </c>
      <c r="B146" s="3" t="s">
        <v>22</v>
      </c>
      <c r="C146" s="3" t="s">
        <v>23</v>
      </c>
      <c r="D146" s="3" t="s">
        <v>25</v>
      </c>
      <c r="E146" s="5">
        <v>46142.756944444445</v>
      </c>
      <c r="F146" s="3" t="s">
        <v>869</v>
      </c>
      <c r="G146" s="3" t="s">
        <v>475</v>
      </c>
      <c r="H146" s="3" t="s">
        <v>474</v>
      </c>
      <c r="I146" s="9" t="s">
        <v>876</v>
      </c>
      <c r="J146" s="10">
        <v>8102025.0</v>
      </c>
      <c r="K146" s="10">
        <v>8062015.0</v>
      </c>
      <c r="L146" s="3" t="s">
        <v>35</v>
      </c>
      <c r="M146" s="3" t="s">
        <v>36</v>
      </c>
      <c r="N146" s="11">
        <v>865.0</v>
      </c>
      <c r="O146" s="3" t="s">
        <v>37</v>
      </c>
    </row>
    <row r="147">
      <c r="A147" s="3" t="s">
        <v>544</v>
      </c>
      <c r="B147" s="3" t="s">
        <v>22</v>
      </c>
      <c r="C147" s="3" t="s">
        <v>23</v>
      </c>
      <c r="D147" s="3" t="s">
        <v>25</v>
      </c>
      <c r="E147" s="5">
        <v>46142.756944444445</v>
      </c>
      <c r="F147" s="3" t="s">
        <v>869</v>
      </c>
      <c r="G147" s="3" t="s">
        <v>546</v>
      </c>
      <c r="H147" s="3" t="s">
        <v>545</v>
      </c>
      <c r="I147" s="9" t="s">
        <v>878</v>
      </c>
      <c r="J147" s="10">
        <v>2.1102025E7</v>
      </c>
      <c r="K147" s="10">
        <v>2.1102015E7</v>
      </c>
      <c r="L147" s="3" t="s">
        <v>35</v>
      </c>
      <c r="M147" s="3" t="s">
        <v>36</v>
      </c>
      <c r="N147" s="11">
        <v>865.0</v>
      </c>
      <c r="O147" s="3" t="s">
        <v>37</v>
      </c>
    </row>
    <row r="148">
      <c r="A148" s="3" t="s">
        <v>481</v>
      </c>
      <c r="B148" s="3" t="s">
        <v>22</v>
      </c>
      <c r="C148" s="3" t="s">
        <v>23</v>
      </c>
      <c r="D148" s="3" t="s">
        <v>25</v>
      </c>
      <c r="E148" s="5">
        <v>46142.756944444445</v>
      </c>
      <c r="F148" s="3" t="s">
        <v>869</v>
      </c>
      <c r="G148" s="3" t="s">
        <v>483</v>
      </c>
      <c r="H148" s="3" t="s">
        <v>482</v>
      </c>
      <c r="I148" s="9" t="s">
        <v>880</v>
      </c>
      <c r="J148" s="10">
        <v>8102025.0</v>
      </c>
      <c r="K148" s="10">
        <v>1.5012016E7</v>
      </c>
      <c r="L148" s="3" t="s">
        <v>35</v>
      </c>
      <c r="M148" s="3" t="s">
        <v>36</v>
      </c>
      <c r="N148" s="11">
        <v>865.0</v>
      </c>
      <c r="O148" s="3" t="s">
        <v>37</v>
      </c>
    </row>
    <row r="149">
      <c r="A149" s="3" t="s">
        <v>463</v>
      </c>
      <c r="B149" s="3" t="s">
        <v>22</v>
      </c>
      <c r="C149" s="3" t="s">
        <v>23</v>
      </c>
      <c r="D149" s="3" t="s">
        <v>25</v>
      </c>
      <c r="E149" s="5">
        <v>46142.756944444445</v>
      </c>
      <c r="F149" s="3" t="s">
        <v>869</v>
      </c>
      <c r="G149" s="3" t="s">
        <v>465</v>
      </c>
      <c r="H149" s="3" t="s">
        <v>464</v>
      </c>
      <c r="I149" s="9" t="s">
        <v>882</v>
      </c>
      <c r="J149" s="10">
        <v>8102025.0</v>
      </c>
      <c r="K149" s="10">
        <v>1.5042016E7</v>
      </c>
      <c r="L149" s="3" t="s">
        <v>35</v>
      </c>
      <c r="M149" s="3" t="s">
        <v>36</v>
      </c>
      <c r="N149" s="11">
        <v>865.0</v>
      </c>
      <c r="O149" s="3" t="s">
        <v>37</v>
      </c>
    </row>
    <row r="150">
      <c r="A150" s="3" t="s">
        <v>527</v>
      </c>
      <c r="B150" s="3" t="s">
        <v>22</v>
      </c>
      <c r="C150" s="3" t="s">
        <v>23</v>
      </c>
      <c r="D150" s="3" t="s">
        <v>25</v>
      </c>
      <c r="E150" s="5">
        <v>46142.756944444445</v>
      </c>
      <c r="F150" s="3" t="s">
        <v>869</v>
      </c>
      <c r="G150" s="3" t="s">
        <v>532</v>
      </c>
      <c r="H150" s="3" t="s">
        <v>531</v>
      </c>
      <c r="I150" s="9" t="s">
        <v>884</v>
      </c>
      <c r="J150" s="10">
        <v>8102025.0</v>
      </c>
      <c r="K150" s="10">
        <v>1.8042016E7</v>
      </c>
      <c r="L150" s="3" t="s">
        <v>35</v>
      </c>
      <c r="M150" s="3" t="s">
        <v>36</v>
      </c>
      <c r="N150" s="11">
        <v>865.0</v>
      </c>
      <c r="O150" s="3" t="s">
        <v>37</v>
      </c>
    </row>
    <row r="151">
      <c r="A151" s="3" t="s">
        <v>519</v>
      </c>
      <c r="B151" s="3" t="s">
        <v>22</v>
      </c>
      <c r="C151" s="3" t="s">
        <v>23</v>
      </c>
      <c r="D151" s="3" t="s">
        <v>25</v>
      </c>
      <c r="E151" s="5">
        <v>46142.756944444445</v>
      </c>
      <c r="F151" s="3" t="s">
        <v>869</v>
      </c>
      <c r="G151" s="3" t="s">
        <v>524</v>
      </c>
      <c r="H151" s="3" t="s">
        <v>523</v>
      </c>
      <c r="I151" s="9" t="s">
        <v>886</v>
      </c>
      <c r="J151" s="10">
        <v>8102025.0</v>
      </c>
      <c r="K151" s="10">
        <v>1.8042016E7</v>
      </c>
      <c r="L151" s="3" t="s">
        <v>35</v>
      </c>
      <c r="M151" s="3" t="s">
        <v>36</v>
      </c>
      <c r="N151" s="11">
        <v>865.0</v>
      </c>
      <c r="O151" s="3" t="s">
        <v>37</v>
      </c>
    </row>
    <row r="152">
      <c r="A152" s="3" t="s">
        <v>562</v>
      </c>
      <c r="B152" s="3" t="s">
        <v>22</v>
      </c>
      <c r="C152" s="3" t="s">
        <v>23</v>
      </c>
      <c r="D152" s="3" t="s">
        <v>25</v>
      </c>
      <c r="E152" s="5">
        <v>46142.756944444445</v>
      </c>
      <c r="F152" s="3" t="s">
        <v>869</v>
      </c>
      <c r="G152" s="3" t="s">
        <v>564</v>
      </c>
      <c r="H152" s="3" t="s">
        <v>563</v>
      </c>
      <c r="I152" s="9" t="s">
        <v>888</v>
      </c>
      <c r="J152" s="10">
        <v>2.1102025E7</v>
      </c>
      <c r="K152" s="10">
        <v>2.5042016E7</v>
      </c>
      <c r="L152" s="3" t="s">
        <v>35</v>
      </c>
      <c r="M152" s="3" t="s">
        <v>36</v>
      </c>
      <c r="N152" s="11">
        <v>865.0</v>
      </c>
      <c r="O152" s="3" t="s">
        <v>37</v>
      </c>
    </row>
    <row r="153">
      <c r="A153" s="3" t="s">
        <v>591</v>
      </c>
      <c r="B153" s="3" t="s">
        <v>22</v>
      </c>
      <c r="C153" s="3" t="s">
        <v>23</v>
      </c>
      <c r="D153" s="3" t="s">
        <v>25</v>
      </c>
      <c r="E153" s="5">
        <v>46142.756944444445</v>
      </c>
      <c r="F153" s="3" t="s">
        <v>869</v>
      </c>
      <c r="G153" s="3" t="s">
        <v>596</v>
      </c>
      <c r="H153" s="3" t="s">
        <v>593</v>
      </c>
      <c r="I153" s="9" t="s">
        <v>889</v>
      </c>
      <c r="J153" s="10">
        <v>2.1102025E7</v>
      </c>
      <c r="K153" s="10">
        <v>2.8042016E7</v>
      </c>
      <c r="L153" s="3" t="s">
        <v>35</v>
      </c>
      <c r="M153" s="3" t="s">
        <v>36</v>
      </c>
      <c r="N153" s="11">
        <v>865.0</v>
      </c>
      <c r="O153" s="3" t="s">
        <v>37</v>
      </c>
    </row>
    <row r="154">
      <c r="A154" s="3" t="s">
        <v>616</v>
      </c>
      <c r="B154" s="3" t="s">
        <v>22</v>
      </c>
      <c r="C154" s="3" t="s">
        <v>23</v>
      </c>
      <c r="D154" s="3" t="s">
        <v>25</v>
      </c>
      <c r="E154" s="5">
        <v>46142.756944444445</v>
      </c>
      <c r="F154" s="3" t="s">
        <v>869</v>
      </c>
      <c r="G154" s="3" t="s">
        <v>620</v>
      </c>
      <c r="H154" s="3" t="s">
        <v>618</v>
      </c>
      <c r="I154" s="9" t="s">
        <v>891</v>
      </c>
      <c r="J154" s="10">
        <v>2.1102025E7</v>
      </c>
      <c r="K154" s="10">
        <v>1.6062016E7</v>
      </c>
      <c r="L154" s="3" t="s">
        <v>35</v>
      </c>
      <c r="M154" s="3" t="s">
        <v>36</v>
      </c>
      <c r="N154" s="11">
        <v>865.0</v>
      </c>
      <c r="O154" s="3" t="s">
        <v>37</v>
      </c>
    </row>
    <row r="155">
      <c r="A155" s="3" t="s">
        <v>489</v>
      </c>
      <c r="B155" s="3" t="s">
        <v>22</v>
      </c>
      <c r="C155" s="3" t="s">
        <v>23</v>
      </c>
      <c r="D155" s="3" t="s">
        <v>25</v>
      </c>
      <c r="E155" s="5">
        <v>46142.756944444445</v>
      </c>
      <c r="F155" s="3" t="s">
        <v>869</v>
      </c>
      <c r="G155" s="3" t="s">
        <v>491</v>
      </c>
      <c r="H155" s="3" t="s">
        <v>490</v>
      </c>
      <c r="I155" s="9" t="s">
        <v>893</v>
      </c>
      <c r="J155" s="10">
        <v>8102025.0</v>
      </c>
      <c r="K155" s="10">
        <v>2.3062016E7</v>
      </c>
      <c r="L155" s="3" t="s">
        <v>35</v>
      </c>
      <c r="M155" s="3" t="s">
        <v>36</v>
      </c>
      <c r="N155" s="11">
        <v>865.0</v>
      </c>
      <c r="O155" s="3" t="s">
        <v>37</v>
      </c>
    </row>
    <row r="156">
      <c r="A156" s="3" t="s">
        <v>632</v>
      </c>
      <c r="B156" s="3" t="s">
        <v>22</v>
      </c>
      <c r="C156" s="3" t="s">
        <v>23</v>
      </c>
      <c r="D156" s="3" t="s">
        <v>25</v>
      </c>
      <c r="E156" s="5">
        <v>46142.756944444445</v>
      </c>
      <c r="F156" s="3" t="s">
        <v>869</v>
      </c>
      <c r="G156" s="3" t="s">
        <v>634</v>
      </c>
      <c r="H156" s="3" t="s">
        <v>633</v>
      </c>
      <c r="I156" s="9" t="s">
        <v>895</v>
      </c>
      <c r="J156" s="10">
        <v>8102025.0</v>
      </c>
      <c r="K156" s="10">
        <v>2.8062016E7</v>
      </c>
      <c r="L156" s="3" t="s">
        <v>35</v>
      </c>
      <c r="M156" s="3" t="s">
        <v>36</v>
      </c>
      <c r="N156" s="11">
        <v>865.0</v>
      </c>
      <c r="O156" s="3" t="s">
        <v>37</v>
      </c>
    </row>
    <row r="157">
      <c r="A157" s="3" t="s">
        <v>572</v>
      </c>
      <c r="B157" s="3" t="s">
        <v>22</v>
      </c>
      <c r="C157" s="3" t="s">
        <v>23</v>
      </c>
      <c r="D157" s="3" t="s">
        <v>25</v>
      </c>
      <c r="E157" s="5">
        <v>46142.756944444445</v>
      </c>
      <c r="F157" s="3" t="s">
        <v>869</v>
      </c>
      <c r="G157" s="3" t="s">
        <v>574</v>
      </c>
      <c r="H157" s="3" t="s">
        <v>573</v>
      </c>
      <c r="I157" s="9" t="s">
        <v>897</v>
      </c>
      <c r="J157" s="10">
        <v>2.1102025E7</v>
      </c>
      <c r="K157" s="10">
        <v>3.0062016E7</v>
      </c>
      <c r="L157" s="3" t="s">
        <v>35</v>
      </c>
      <c r="M157" s="3" t="s">
        <v>36</v>
      </c>
      <c r="N157" s="11">
        <v>865.0</v>
      </c>
      <c r="O157" s="3" t="s">
        <v>37</v>
      </c>
    </row>
    <row r="158">
      <c r="A158" s="3" t="s">
        <v>637</v>
      </c>
      <c r="B158" s="3" t="s">
        <v>22</v>
      </c>
      <c r="C158" s="3" t="s">
        <v>23</v>
      </c>
      <c r="D158" s="3" t="s">
        <v>25</v>
      </c>
      <c r="E158" s="5">
        <v>46142.756944444445</v>
      </c>
      <c r="F158" s="3" t="s">
        <v>869</v>
      </c>
      <c r="G158" s="3" t="s">
        <v>639</v>
      </c>
      <c r="H158" s="3" t="s">
        <v>638</v>
      </c>
      <c r="I158" s="9" t="s">
        <v>900</v>
      </c>
      <c r="J158" s="10">
        <v>8102025.0</v>
      </c>
      <c r="K158" s="10">
        <v>2112016.0</v>
      </c>
      <c r="L158" s="3" t="s">
        <v>35</v>
      </c>
      <c r="M158" s="3" t="s">
        <v>36</v>
      </c>
      <c r="N158" s="11">
        <v>865.0</v>
      </c>
      <c r="O158" s="3" t="s">
        <v>37</v>
      </c>
    </row>
    <row r="159">
      <c r="A159" s="3" t="s">
        <v>567</v>
      </c>
      <c r="B159" s="3" t="s">
        <v>22</v>
      </c>
      <c r="C159" s="3" t="s">
        <v>23</v>
      </c>
      <c r="D159" s="3" t="s">
        <v>25</v>
      </c>
      <c r="E159" s="5">
        <v>46142.756944444445</v>
      </c>
      <c r="F159" s="3" t="s">
        <v>869</v>
      </c>
      <c r="G159" s="3" t="s">
        <v>569</v>
      </c>
      <c r="H159" s="3" t="s">
        <v>568</v>
      </c>
      <c r="I159" s="9" t="s">
        <v>902</v>
      </c>
      <c r="J159" s="10">
        <v>2.1102025E7</v>
      </c>
      <c r="K159" s="10">
        <v>2.3112016E7</v>
      </c>
      <c r="L159" s="3" t="s">
        <v>35</v>
      </c>
      <c r="M159" s="3" t="s">
        <v>36</v>
      </c>
      <c r="N159" s="11">
        <v>865.0</v>
      </c>
      <c r="O159" s="3" t="s">
        <v>37</v>
      </c>
    </row>
    <row r="160">
      <c r="A160" s="3" t="s">
        <v>655</v>
      </c>
      <c r="B160" s="3" t="s">
        <v>22</v>
      </c>
      <c r="C160" s="3" t="s">
        <v>23</v>
      </c>
      <c r="D160" s="3" t="s">
        <v>25</v>
      </c>
      <c r="E160" s="5">
        <v>46142.756944444445</v>
      </c>
      <c r="F160" s="3" t="s">
        <v>869</v>
      </c>
      <c r="G160" s="3" t="s">
        <v>657</v>
      </c>
      <c r="H160" s="3" t="s">
        <v>656</v>
      </c>
      <c r="I160" s="9" t="s">
        <v>904</v>
      </c>
      <c r="J160" s="10">
        <v>8102025.0</v>
      </c>
      <c r="K160" s="10">
        <v>1.7022017E7</v>
      </c>
      <c r="L160" s="3" t="s">
        <v>35</v>
      </c>
      <c r="M160" s="3" t="s">
        <v>36</v>
      </c>
      <c r="N160" s="11">
        <v>865.0</v>
      </c>
      <c r="O160" s="3" t="s">
        <v>37</v>
      </c>
    </row>
    <row r="161">
      <c r="A161" s="3" t="s">
        <v>642</v>
      </c>
      <c r="B161" s="3" t="s">
        <v>22</v>
      </c>
      <c r="C161" s="3" t="s">
        <v>23</v>
      </c>
      <c r="D161" s="3" t="s">
        <v>25</v>
      </c>
      <c r="E161" s="5">
        <v>46142.756944444445</v>
      </c>
      <c r="F161" s="3" t="s">
        <v>869</v>
      </c>
      <c r="G161" s="3" t="s">
        <v>644</v>
      </c>
      <c r="H161" s="3" t="s">
        <v>643</v>
      </c>
      <c r="I161" s="9" t="s">
        <v>906</v>
      </c>
      <c r="J161" s="10">
        <v>2.1102025E7</v>
      </c>
      <c r="K161" s="10">
        <v>3052017.0</v>
      </c>
      <c r="L161" s="3" t="s">
        <v>35</v>
      </c>
      <c r="M161" s="3" t="s">
        <v>36</v>
      </c>
      <c r="N161" s="11">
        <v>865.0</v>
      </c>
      <c r="O161" s="3" t="s">
        <v>37</v>
      </c>
    </row>
    <row r="162">
      <c r="A162" s="3" t="s">
        <v>647</v>
      </c>
      <c r="B162" s="3" t="s">
        <v>22</v>
      </c>
      <c r="C162" s="3" t="s">
        <v>23</v>
      </c>
      <c r="D162" s="3" t="s">
        <v>25</v>
      </c>
      <c r="E162" s="5">
        <v>46142.756944444445</v>
      </c>
      <c r="F162" s="3" t="s">
        <v>869</v>
      </c>
      <c r="G162" s="3" t="s">
        <v>649</v>
      </c>
      <c r="H162" s="3" t="s">
        <v>648</v>
      </c>
      <c r="I162" s="9" t="s">
        <v>908</v>
      </c>
      <c r="J162" s="10">
        <v>8102025.0</v>
      </c>
      <c r="K162" s="10">
        <v>9052017.0</v>
      </c>
      <c r="L162" s="3" t="s">
        <v>35</v>
      </c>
      <c r="M162" s="3" t="s">
        <v>36</v>
      </c>
      <c r="N162" s="11">
        <v>865.0</v>
      </c>
      <c r="O162" s="3" t="s">
        <v>37</v>
      </c>
    </row>
    <row r="163">
      <c r="A163" s="3" t="s">
        <v>673</v>
      </c>
      <c r="B163" s="3" t="s">
        <v>22</v>
      </c>
      <c r="C163" s="3" t="s">
        <v>23</v>
      </c>
      <c r="D163" s="3" t="s">
        <v>25</v>
      </c>
      <c r="E163" s="5">
        <v>46142.756944444445</v>
      </c>
      <c r="F163" s="3" t="s">
        <v>869</v>
      </c>
      <c r="G163" s="3" t="s">
        <v>675</v>
      </c>
      <c r="H163" s="3" t="s">
        <v>674</v>
      </c>
      <c r="I163" s="9" t="s">
        <v>910</v>
      </c>
      <c r="J163" s="10">
        <v>8102025.0</v>
      </c>
      <c r="K163" s="10">
        <v>6062017.0</v>
      </c>
      <c r="L163" s="3" t="s">
        <v>35</v>
      </c>
      <c r="M163" s="3" t="s">
        <v>36</v>
      </c>
      <c r="N163" s="11">
        <v>865.0</v>
      </c>
      <c r="O163" s="3" t="s">
        <v>37</v>
      </c>
    </row>
    <row r="164">
      <c r="A164" s="3" t="s">
        <v>911</v>
      </c>
      <c r="B164" s="3" t="s">
        <v>22</v>
      </c>
      <c r="C164" s="3" t="s">
        <v>23</v>
      </c>
      <c r="D164" s="3" t="s">
        <v>25</v>
      </c>
      <c r="E164" s="5">
        <v>46142.756944444445</v>
      </c>
      <c r="F164" s="3" t="s">
        <v>869</v>
      </c>
      <c r="G164" s="3" t="s">
        <v>912</v>
      </c>
      <c r="H164" s="3" t="s">
        <v>914</v>
      </c>
      <c r="I164" s="9" t="s">
        <v>915</v>
      </c>
      <c r="J164" s="10">
        <v>8102025.0</v>
      </c>
      <c r="K164" s="10">
        <v>5092017.0</v>
      </c>
      <c r="L164" s="3" t="s">
        <v>35</v>
      </c>
      <c r="M164" s="3" t="s">
        <v>36</v>
      </c>
      <c r="N164" s="11">
        <v>865.0</v>
      </c>
      <c r="O164" s="3" t="s">
        <v>37</v>
      </c>
    </row>
    <row r="165">
      <c r="A165" s="3" t="s">
        <v>916</v>
      </c>
      <c r="B165" s="3" t="s">
        <v>22</v>
      </c>
      <c r="C165" s="3" t="s">
        <v>23</v>
      </c>
      <c r="D165" s="3" t="s">
        <v>25</v>
      </c>
      <c r="E165" s="5">
        <v>46142.756944444445</v>
      </c>
      <c r="F165" s="3" t="s">
        <v>869</v>
      </c>
      <c r="G165" s="3" t="s">
        <v>917</v>
      </c>
      <c r="H165" s="3" t="s">
        <v>919</v>
      </c>
      <c r="I165" s="9" t="s">
        <v>920</v>
      </c>
      <c r="J165" s="10">
        <v>8102025.0</v>
      </c>
      <c r="K165" s="10">
        <v>5092017.0</v>
      </c>
      <c r="L165" s="3" t="s">
        <v>35</v>
      </c>
      <c r="M165" s="3" t="s">
        <v>36</v>
      </c>
      <c r="N165" s="11">
        <v>865.0</v>
      </c>
      <c r="O165" s="3" t="s">
        <v>37</v>
      </c>
    </row>
    <row r="166">
      <c r="A166" s="3" t="s">
        <v>922</v>
      </c>
      <c r="B166" s="3" t="s">
        <v>22</v>
      </c>
      <c r="C166" s="3" t="s">
        <v>23</v>
      </c>
      <c r="D166" s="3" t="s">
        <v>25</v>
      </c>
      <c r="E166" s="5">
        <v>46142.756944444445</v>
      </c>
      <c r="F166" s="3" t="s">
        <v>869</v>
      </c>
      <c r="G166" s="3" t="s">
        <v>924</v>
      </c>
      <c r="H166" s="3" t="s">
        <v>925</v>
      </c>
      <c r="I166" s="9" t="s">
        <v>927</v>
      </c>
      <c r="J166" s="10">
        <v>8102025.0</v>
      </c>
      <c r="K166" s="10">
        <v>5092017.0</v>
      </c>
      <c r="L166" s="3" t="s">
        <v>35</v>
      </c>
      <c r="M166" s="3" t="s">
        <v>36</v>
      </c>
      <c r="N166" s="11">
        <v>865.0</v>
      </c>
      <c r="O166" s="3" t="s">
        <v>37</v>
      </c>
    </row>
    <row r="167">
      <c r="A167" s="3" t="s">
        <v>694</v>
      </c>
      <c r="B167" s="3" t="s">
        <v>22</v>
      </c>
      <c r="C167" s="3" t="s">
        <v>23</v>
      </c>
      <c r="D167" s="3" t="s">
        <v>25</v>
      </c>
      <c r="E167" s="5">
        <v>46142.75763888889</v>
      </c>
      <c r="F167" s="3" t="s">
        <v>869</v>
      </c>
      <c r="G167" s="3" t="s">
        <v>696</v>
      </c>
      <c r="H167" s="3" t="s">
        <v>695</v>
      </c>
      <c r="I167" s="9" t="s">
        <v>929</v>
      </c>
      <c r="J167" s="10">
        <v>8102025.0</v>
      </c>
      <c r="K167" s="10">
        <v>3.0012018E7</v>
      </c>
      <c r="L167" s="3" t="s">
        <v>35</v>
      </c>
      <c r="M167" s="3" t="s">
        <v>36</v>
      </c>
      <c r="N167" s="11">
        <v>865.0</v>
      </c>
      <c r="O167" s="3" t="s">
        <v>37</v>
      </c>
    </row>
    <row r="168">
      <c r="A168" s="3" t="s">
        <v>535</v>
      </c>
      <c r="B168" s="3" t="s">
        <v>22</v>
      </c>
      <c r="C168" s="3" t="s">
        <v>23</v>
      </c>
      <c r="D168" s="3" t="s">
        <v>25</v>
      </c>
      <c r="E168" s="5">
        <v>46142.75763888889</v>
      </c>
      <c r="F168" s="3" t="s">
        <v>869</v>
      </c>
      <c r="G168" s="3" t="s">
        <v>537</v>
      </c>
      <c r="H168" s="3" t="s">
        <v>536</v>
      </c>
      <c r="I168" s="9" t="s">
        <v>931</v>
      </c>
      <c r="J168" s="10">
        <v>8102025.0</v>
      </c>
      <c r="K168" s="10">
        <v>9022018.0</v>
      </c>
      <c r="L168" s="3" t="s">
        <v>35</v>
      </c>
      <c r="M168" s="3" t="s">
        <v>36</v>
      </c>
      <c r="N168" s="11">
        <v>865.0</v>
      </c>
      <c r="O168" s="3" t="s">
        <v>37</v>
      </c>
    </row>
    <row r="169">
      <c r="A169" s="3" t="s">
        <v>689</v>
      </c>
      <c r="B169" s="3" t="s">
        <v>22</v>
      </c>
      <c r="C169" s="3" t="s">
        <v>23</v>
      </c>
      <c r="D169" s="3" t="s">
        <v>25</v>
      </c>
      <c r="E169" s="5">
        <v>46142.75763888889</v>
      </c>
      <c r="F169" s="3" t="s">
        <v>869</v>
      </c>
      <c r="G169" s="3" t="s">
        <v>691</v>
      </c>
      <c r="H169" s="3" t="s">
        <v>690</v>
      </c>
      <c r="I169" s="9" t="s">
        <v>934</v>
      </c>
      <c r="J169" s="10">
        <v>8102025.0</v>
      </c>
      <c r="K169" s="10">
        <v>2032018.0</v>
      </c>
      <c r="L169" s="3" t="s">
        <v>35</v>
      </c>
      <c r="M169" s="3" t="s">
        <v>36</v>
      </c>
      <c r="N169" s="11">
        <v>865.0</v>
      </c>
      <c r="O169" s="3" t="s">
        <v>37</v>
      </c>
    </row>
    <row r="170">
      <c r="A170" s="3" t="s">
        <v>936</v>
      </c>
      <c r="B170" s="3" t="s">
        <v>22</v>
      </c>
      <c r="C170" s="3" t="s">
        <v>23</v>
      </c>
      <c r="D170" s="3" t="s">
        <v>25</v>
      </c>
      <c r="E170" s="5">
        <v>46142.75763888889</v>
      </c>
      <c r="F170" s="3" t="s">
        <v>869</v>
      </c>
      <c r="G170" s="3" t="s">
        <v>937</v>
      </c>
      <c r="H170" s="3" t="s">
        <v>938</v>
      </c>
      <c r="I170" s="9" t="s">
        <v>939</v>
      </c>
      <c r="J170" s="10">
        <v>8102025.0</v>
      </c>
      <c r="K170" s="10">
        <v>2.9042019E7</v>
      </c>
      <c r="L170" s="3" t="s">
        <v>35</v>
      </c>
      <c r="M170" s="3" t="s">
        <v>36</v>
      </c>
      <c r="N170" s="11">
        <v>865.0</v>
      </c>
      <c r="O170" s="3" t="s">
        <v>37</v>
      </c>
    </row>
    <row r="171">
      <c r="A171" s="3" t="s">
        <v>941</v>
      </c>
      <c r="B171" s="3" t="s">
        <v>22</v>
      </c>
      <c r="C171" s="3" t="s">
        <v>23</v>
      </c>
      <c r="D171" s="3" t="s">
        <v>25</v>
      </c>
      <c r="E171" s="5">
        <v>46142.75763888889</v>
      </c>
      <c r="F171" s="3" t="s">
        <v>869</v>
      </c>
      <c r="G171" s="3" t="s">
        <v>942</v>
      </c>
      <c r="H171" s="3" t="s">
        <v>943</v>
      </c>
      <c r="I171" s="9" t="s">
        <v>944</v>
      </c>
      <c r="J171" s="10">
        <v>8102025.0</v>
      </c>
      <c r="K171" s="10">
        <v>1.3052019E7</v>
      </c>
      <c r="L171" s="3" t="s">
        <v>35</v>
      </c>
      <c r="M171" s="3" t="s">
        <v>36</v>
      </c>
      <c r="N171" s="11">
        <v>865.0</v>
      </c>
      <c r="O171" s="3" t="s">
        <v>37</v>
      </c>
    </row>
    <row r="172">
      <c r="A172" s="3" t="s">
        <v>660</v>
      </c>
      <c r="B172" s="3" t="s">
        <v>22</v>
      </c>
      <c r="C172" s="3" t="s">
        <v>23</v>
      </c>
      <c r="D172" s="3" t="s">
        <v>25</v>
      </c>
      <c r="E172" s="5">
        <v>46142.75763888889</v>
      </c>
      <c r="F172" s="3" t="s">
        <v>869</v>
      </c>
      <c r="G172" s="3" t="s">
        <v>662</v>
      </c>
      <c r="H172" s="3" t="s">
        <v>661</v>
      </c>
      <c r="I172" s="9" t="s">
        <v>946</v>
      </c>
      <c r="J172" s="10">
        <v>8102025.0</v>
      </c>
      <c r="K172" s="10">
        <v>3122019.0</v>
      </c>
      <c r="L172" s="3" t="s">
        <v>35</v>
      </c>
      <c r="M172" s="3" t="s">
        <v>36</v>
      </c>
      <c r="N172" s="11">
        <v>865.0</v>
      </c>
      <c r="O172" s="3" t="s">
        <v>37</v>
      </c>
    </row>
    <row r="173">
      <c r="A173" s="3" t="s">
        <v>557</v>
      </c>
      <c r="B173" s="3" t="s">
        <v>22</v>
      </c>
      <c r="C173" s="3" t="s">
        <v>23</v>
      </c>
      <c r="D173" s="3" t="s">
        <v>25</v>
      </c>
      <c r="E173" s="5">
        <v>46142.75763888889</v>
      </c>
      <c r="F173" s="3" t="s">
        <v>869</v>
      </c>
      <c r="G173" s="3" t="s">
        <v>559</v>
      </c>
      <c r="H173" s="3" t="s">
        <v>558</v>
      </c>
      <c r="I173" s="9" t="s">
        <v>948</v>
      </c>
      <c r="J173" s="10">
        <v>8102025.0</v>
      </c>
      <c r="K173" s="10">
        <v>1.701202E7</v>
      </c>
      <c r="L173" s="3" t="s">
        <v>35</v>
      </c>
      <c r="M173" s="3" t="s">
        <v>36</v>
      </c>
      <c r="N173" s="11">
        <v>865.0</v>
      </c>
      <c r="O173" s="3" t="s">
        <v>37</v>
      </c>
    </row>
    <row r="174">
      <c r="A174" s="3" t="s">
        <v>704</v>
      </c>
      <c r="B174" s="3" t="s">
        <v>22</v>
      </c>
      <c r="C174" s="3" t="s">
        <v>23</v>
      </c>
      <c r="D174" s="3" t="s">
        <v>25</v>
      </c>
      <c r="E174" s="5">
        <v>46142.75763888889</v>
      </c>
      <c r="F174" s="3" t="s">
        <v>869</v>
      </c>
      <c r="G174" s="3" t="s">
        <v>706</v>
      </c>
      <c r="H174" s="3" t="s">
        <v>705</v>
      </c>
      <c r="I174" s="9" t="s">
        <v>950</v>
      </c>
      <c r="J174" s="10">
        <v>8102025.0</v>
      </c>
      <c r="K174" s="10">
        <v>1.802202E7</v>
      </c>
      <c r="L174" s="3" t="s">
        <v>35</v>
      </c>
      <c r="M174" s="3" t="s">
        <v>36</v>
      </c>
      <c r="N174" s="11">
        <v>865.0</v>
      </c>
      <c r="O174" s="3" t="s">
        <v>37</v>
      </c>
    </row>
    <row r="175">
      <c r="A175" s="3" t="s">
        <v>952</v>
      </c>
      <c r="B175" s="3" t="s">
        <v>22</v>
      </c>
      <c r="C175" s="3" t="s">
        <v>23</v>
      </c>
      <c r="D175" s="3" t="s">
        <v>25</v>
      </c>
      <c r="E175" s="5">
        <v>46142.75763888889</v>
      </c>
      <c r="F175" s="3" t="s">
        <v>869</v>
      </c>
      <c r="G175" s="3" t="s">
        <v>953</v>
      </c>
      <c r="H175" s="3" t="s">
        <v>954</v>
      </c>
      <c r="I175" s="9" t="s">
        <v>955</v>
      </c>
      <c r="J175" s="10">
        <v>8102025.0</v>
      </c>
      <c r="K175" s="10">
        <v>1.902202E7</v>
      </c>
      <c r="L175" s="3" t="s">
        <v>35</v>
      </c>
      <c r="M175" s="3" t="s">
        <v>36</v>
      </c>
      <c r="N175" s="11">
        <v>865.0</v>
      </c>
      <c r="O175" s="3" t="s">
        <v>37</v>
      </c>
    </row>
    <row r="176">
      <c r="A176" s="3" t="s">
        <v>709</v>
      </c>
      <c r="B176" s="3" t="s">
        <v>22</v>
      </c>
      <c r="C176" s="3" t="s">
        <v>23</v>
      </c>
      <c r="D176" s="3" t="s">
        <v>25</v>
      </c>
      <c r="E176" s="5">
        <v>46142.75763888889</v>
      </c>
      <c r="F176" s="3" t="s">
        <v>869</v>
      </c>
      <c r="G176" s="3" t="s">
        <v>711</v>
      </c>
      <c r="H176" s="3" t="s">
        <v>710</v>
      </c>
      <c r="I176" s="9" t="s">
        <v>957</v>
      </c>
      <c r="J176" s="10">
        <v>8102025.0</v>
      </c>
      <c r="K176" s="10">
        <v>6032020.0</v>
      </c>
      <c r="L176" s="3" t="s">
        <v>35</v>
      </c>
      <c r="M176" s="3" t="s">
        <v>36</v>
      </c>
      <c r="N176" s="11">
        <v>865.0</v>
      </c>
      <c r="O176" s="3" t="s">
        <v>37</v>
      </c>
    </row>
    <row r="177">
      <c r="A177" s="3" t="s">
        <v>577</v>
      </c>
      <c r="B177" s="3" t="s">
        <v>22</v>
      </c>
      <c r="C177" s="3" t="s">
        <v>23</v>
      </c>
      <c r="D177" s="3" t="s">
        <v>25</v>
      </c>
      <c r="E177" s="5">
        <v>46142.75763888889</v>
      </c>
      <c r="F177" s="3" t="s">
        <v>869</v>
      </c>
      <c r="G177" s="3" t="s">
        <v>579</v>
      </c>
      <c r="H177" s="3" t="s">
        <v>578</v>
      </c>
      <c r="I177" s="9" t="s">
        <v>959</v>
      </c>
      <c r="J177" s="10">
        <v>8102025.0</v>
      </c>
      <c r="K177" s="10">
        <v>1.003202E7</v>
      </c>
      <c r="L177" s="3" t="s">
        <v>35</v>
      </c>
      <c r="M177" s="3" t="s">
        <v>36</v>
      </c>
      <c r="N177" s="11">
        <v>865.0</v>
      </c>
      <c r="O177" s="3" t="s">
        <v>37</v>
      </c>
    </row>
    <row r="178">
      <c r="A178" s="3" t="s">
        <v>468</v>
      </c>
      <c r="B178" s="3" t="s">
        <v>22</v>
      </c>
      <c r="C178" s="3" t="s">
        <v>23</v>
      </c>
      <c r="D178" s="3" t="s">
        <v>25</v>
      </c>
      <c r="E178" s="5">
        <v>46142.75763888889</v>
      </c>
      <c r="F178" s="3" t="s">
        <v>869</v>
      </c>
      <c r="G178" s="3" t="s">
        <v>470</v>
      </c>
      <c r="H178" s="3" t="s">
        <v>469</v>
      </c>
      <c r="I178" s="9" t="s">
        <v>960</v>
      </c>
      <c r="J178" s="10">
        <v>8102025.0</v>
      </c>
      <c r="K178" s="10">
        <v>1.103202E7</v>
      </c>
      <c r="L178" s="3" t="s">
        <v>35</v>
      </c>
      <c r="M178" s="3" t="s">
        <v>36</v>
      </c>
      <c r="N178" s="11">
        <v>865.0</v>
      </c>
      <c r="O178" s="3" t="s">
        <v>37</v>
      </c>
    </row>
    <row r="179">
      <c r="A179" s="3" t="s">
        <v>497</v>
      </c>
      <c r="B179" s="3" t="s">
        <v>22</v>
      </c>
      <c r="C179" s="3" t="s">
        <v>23</v>
      </c>
      <c r="D179" s="3" t="s">
        <v>25</v>
      </c>
      <c r="E179" s="5">
        <v>46142.75763888889</v>
      </c>
      <c r="F179" s="3" t="s">
        <v>869</v>
      </c>
      <c r="G179" s="3" t="s">
        <v>500</v>
      </c>
      <c r="H179" s="3" t="s">
        <v>498</v>
      </c>
      <c r="I179" s="9" t="s">
        <v>962</v>
      </c>
      <c r="J179" s="10">
        <v>8102025.0</v>
      </c>
      <c r="K179" s="10">
        <v>3.003202E7</v>
      </c>
      <c r="L179" s="3" t="s">
        <v>35</v>
      </c>
      <c r="M179" s="3" t="s">
        <v>36</v>
      </c>
      <c r="N179" s="11">
        <v>865.0</v>
      </c>
      <c r="O179" s="3" t="s">
        <v>37</v>
      </c>
    </row>
    <row r="180">
      <c r="A180" s="3" t="s">
        <v>624</v>
      </c>
      <c r="B180" s="3" t="s">
        <v>22</v>
      </c>
      <c r="C180" s="3" t="s">
        <v>23</v>
      </c>
      <c r="D180" s="3" t="s">
        <v>25</v>
      </c>
      <c r="E180" s="5">
        <v>46142.75763888889</v>
      </c>
      <c r="F180" s="3" t="s">
        <v>869</v>
      </c>
      <c r="G180" s="3" t="s">
        <v>627</v>
      </c>
      <c r="H180" s="3" t="s">
        <v>626</v>
      </c>
      <c r="I180" s="9" t="s">
        <v>964</v>
      </c>
      <c r="J180" s="10">
        <v>8102025.0</v>
      </c>
      <c r="K180" s="10">
        <v>2.004202E7</v>
      </c>
      <c r="L180" s="3" t="s">
        <v>35</v>
      </c>
      <c r="M180" s="3" t="s">
        <v>36</v>
      </c>
      <c r="N180" s="11">
        <v>865.0</v>
      </c>
      <c r="O180" s="3" t="s">
        <v>37</v>
      </c>
    </row>
    <row r="181">
      <c r="A181" s="3" t="s">
        <v>606</v>
      </c>
      <c r="B181" s="3" t="s">
        <v>22</v>
      </c>
      <c r="C181" s="3" t="s">
        <v>23</v>
      </c>
      <c r="D181" s="3" t="s">
        <v>25</v>
      </c>
      <c r="E181" s="5">
        <v>46142.75763888889</v>
      </c>
      <c r="F181" s="3" t="s">
        <v>869</v>
      </c>
      <c r="G181" s="3" t="s">
        <v>609</v>
      </c>
      <c r="H181" s="3" t="s">
        <v>607</v>
      </c>
      <c r="I181" s="9" t="s">
        <v>966</v>
      </c>
      <c r="J181" s="10">
        <v>8102025.0</v>
      </c>
      <c r="K181" s="10">
        <v>2.804202E7</v>
      </c>
      <c r="L181" s="3" t="s">
        <v>35</v>
      </c>
      <c r="M181" s="3" t="s">
        <v>36</v>
      </c>
      <c r="N181" s="11">
        <v>865.0</v>
      </c>
      <c r="O181" s="3" t="s">
        <v>37</v>
      </c>
    </row>
    <row r="182">
      <c r="A182" s="3" t="s">
        <v>582</v>
      </c>
      <c r="B182" s="3" t="s">
        <v>22</v>
      </c>
      <c r="C182" s="3" t="s">
        <v>23</v>
      </c>
      <c r="D182" s="3" t="s">
        <v>25</v>
      </c>
      <c r="E182" s="5">
        <v>46142.75763888889</v>
      </c>
      <c r="F182" s="3" t="s">
        <v>869</v>
      </c>
      <c r="G182" s="3" t="s">
        <v>585</v>
      </c>
      <c r="H182" s="3" t="s">
        <v>584</v>
      </c>
      <c r="I182" s="9" t="s">
        <v>968</v>
      </c>
      <c r="J182" s="10">
        <v>8102025.0</v>
      </c>
      <c r="K182" s="10">
        <v>1.806202E7</v>
      </c>
      <c r="L182" s="3" t="s">
        <v>35</v>
      </c>
      <c r="M182" s="3" t="s">
        <v>36</v>
      </c>
      <c r="N182" s="11">
        <v>865.0</v>
      </c>
      <c r="O182" s="3" t="s">
        <v>37</v>
      </c>
    </row>
    <row r="183">
      <c r="A183" s="3" t="s">
        <v>599</v>
      </c>
      <c r="B183" s="3" t="s">
        <v>22</v>
      </c>
      <c r="C183" s="3" t="s">
        <v>23</v>
      </c>
      <c r="D183" s="3" t="s">
        <v>25</v>
      </c>
      <c r="E183" s="5">
        <v>46142.75763888889</v>
      </c>
      <c r="F183" s="3" t="s">
        <v>869</v>
      </c>
      <c r="G183" s="3" t="s">
        <v>604</v>
      </c>
      <c r="H183" s="3" t="s">
        <v>602</v>
      </c>
      <c r="I183" s="9" t="s">
        <v>970</v>
      </c>
      <c r="J183" s="10">
        <v>2.1102025E7</v>
      </c>
      <c r="K183" s="10">
        <v>2.506202E7</v>
      </c>
      <c r="L183" s="3" t="s">
        <v>35</v>
      </c>
      <c r="M183" s="3" t="s">
        <v>36</v>
      </c>
      <c r="N183" s="11">
        <v>865.0</v>
      </c>
      <c r="O183" s="3" t="s">
        <v>37</v>
      </c>
    </row>
    <row r="184">
      <c r="A184" s="3" t="s">
        <v>665</v>
      </c>
      <c r="B184" s="3" t="s">
        <v>22</v>
      </c>
      <c r="C184" s="3" t="s">
        <v>23</v>
      </c>
      <c r="D184" s="3" t="s">
        <v>25</v>
      </c>
      <c r="E184" s="5">
        <v>46142.75763888889</v>
      </c>
      <c r="F184" s="3" t="s">
        <v>869</v>
      </c>
      <c r="G184" s="3" t="s">
        <v>667</v>
      </c>
      <c r="H184" s="3" t="s">
        <v>666</v>
      </c>
      <c r="I184" s="9" t="s">
        <v>972</v>
      </c>
      <c r="J184" s="10">
        <v>8102025.0</v>
      </c>
      <c r="K184" s="10">
        <v>1072020.0</v>
      </c>
      <c r="L184" s="3" t="s">
        <v>35</v>
      </c>
      <c r="M184" s="3" t="s">
        <v>36</v>
      </c>
      <c r="N184" s="11">
        <v>865.0</v>
      </c>
      <c r="O184" s="3" t="s">
        <v>37</v>
      </c>
    </row>
    <row r="185">
      <c r="A185" s="3" t="s">
        <v>611</v>
      </c>
      <c r="B185" s="3" t="s">
        <v>22</v>
      </c>
      <c r="C185" s="3" t="s">
        <v>23</v>
      </c>
      <c r="D185" s="3" t="s">
        <v>25</v>
      </c>
      <c r="E185" s="5">
        <v>46142.75763888889</v>
      </c>
      <c r="F185" s="3" t="s">
        <v>869</v>
      </c>
      <c r="G185" s="3" t="s">
        <v>614</v>
      </c>
      <c r="H185" s="3" t="s">
        <v>613</v>
      </c>
      <c r="I185" s="9" t="s">
        <v>974</v>
      </c>
      <c r="J185" s="10">
        <v>8102025.0</v>
      </c>
      <c r="K185" s="10">
        <v>2072020.0</v>
      </c>
      <c r="L185" s="3" t="s">
        <v>35</v>
      </c>
      <c r="M185" s="3" t="s">
        <v>36</v>
      </c>
      <c r="N185" s="11">
        <v>865.0</v>
      </c>
      <c r="O185" s="3" t="s">
        <v>37</v>
      </c>
    </row>
    <row r="186">
      <c r="A186" s="3" t="s">
        <v>681</v>
      </c>
      <c r="B186" s="3" t="s">
        <v>22</v>
      </c>
      <c r="C186" s="3" t="s">
        <v>23</v>
      </c>
      <c r="D186" s="3" t="s">
        <v>25</v>
      </c>
      <c r="E186" s="5">
        <v>46142.75763888889</v>
      </c>
      <c r="F186" s="3" t="s">
        <v>869</v>
      </c>
      <c r="G186" s="3" t="s">
        <v>683</v>
      </c>
      <c r="H186" s="3" t="s">
        <v>682</v>
      </c>
      <c r="I186" s="9" t="s">
        <v>976</v>
      </c>
      <c r="J186" s="10">
        <v>8102025.0</v>
      </c>
      <c r="K186" s="10">
        <v>1.407202E7</v>
      </c>
      <c r="L186" s="3" t="s">
        <v>35</v>
      </c>
      <c r="M186" s="3" t="s">
        <v>36</v>
      </c>
      <c r="N186" s="11">
        <v>865.0</v>
      </c>
      <c r="O186" s="3" t="s">
        <v>37</v>
      </c>
    </row>
    <row r="187">
      <c r="A187" s="3" t="s">
        <v>978</v>
      </c>
      <c r="B187" s="3" t="s">
        <v>22</v>
      </c>
      <c r="C187" s="3" t="s">
        <v>23</v>
      </c>
      <c r="D187" s="3" t="s">
        <v>25</v>
      </c>
      <c r="E187" s="5">
        <v>46142.75763888889</v>
      </c>
      <c r="F187" s="3" t="s">
        <v>869</v>
      </c>
      <c r="G187" s="3" t="s">
        <v>979</v>
      </c>
      <c r="H187" s="3" t="s">
        <v>980</v>
      </c>
      <c r="I187" s="9" t="s">
        <v>981</v>
      </c>
      <c r="J187" s="10">
        <v>8102025.0</v>
      </c>
      <c r="K187" s="10">
        <v>2.107202E7</v>
      </c>
      <c r="L187" s="3" t="s">
        <v>35</v>
      </c>
      <c r="M187" s="3" t="s">
        <v>36</v>
      </c>
      <c r="N187" s="11">
        <v>865.0</v>
      </c>
      <c r="O187" s="3" t="s">
        <v>37</v>
      </c>
    </row>
    <row r="188">
      <c r="A188" s="3" t="s">
        <v>983</v>
      </c>
      <c r="B188" s="3" t="s">
        <v>22</v>
      </c>
      <c r="C188" s="3" t="s">
        <v>23</v>
      </c>
      <c r="D188" s="3" t="s">
        <v>25</v>
      </c>
      <c r="E188" s="5">
        <v>46142.75763888889</v>
      </c>
      <c r="F188" s="3" t="s">
        <v>869</v>
      </c>
      <c r="G188" s="3" t="s">
        <v>984</v>
      </c>
      <c r="H188" s="3" t="s">
        <v>985</v>
      </c>
      <c r="I188" s="9" t="s">
        <v>986</v>
      </c>
      <c r="J188" s="10">
        <v>8102025.0</v>
      </c>
      <c r="K188" s="10">
        <v>1.008202E7</v>
      </c>
      <c r="L188" s="3" t="s">
        <v>35</v>
      </c>
      <c r="M188" s="3" t="s">
        <v>36</v>
      </c>
      <c r="N188" s="11">
        <v>865.0</v>
      </c>
      <c r="O188" s="3" t="s">
        <v>37</v>
      </c>
    </row>
    <row r="189">
      <c r="A189" s="3" t="s">
        <v>987</v>
      </c>
      <c r="B189" s="3" t="s">
        <v>22</v>
      </c>
      <c r="C189" s="3" t="s">
        <v>23</v>
      </c>
      <c r="D189" s="3" t="s">
        <v>25</v>
      </c>
      <c r="E189" s="5">
        <v>46142.75763888889</v>
      </c>
      <c r="F189" s="3" t="s">
        <v>869</v>
      </c>
      <c r="G189" s="3" t="s">
        <v>989</v>
      </c>
      <c r="H189" s="3" t="s">
        <v>990</v>
      </c>
      <c r="I189" s="9" t="s">
        <v>991</v>
      </c>
      <c r="J189" s="10">
        <v>8102025.0</v>
      </c>
      <c r="K189" s="10">
        <v>1.108202E7</v>
      </c>
      <c r="L189" s="3" t="s">
        <v>35</v>
      </c>
      <c r="M189" s="3" t="s">
        <v>36</v>
      </c>
      <c r="N189" s="11">
        <v>865.0</v>
      </c>
      <c r="O189" s="3" t="s">
        <v>37</v>
      </c>
    </row>
    <row r="190">
      <c r="A190" s="3" t="s">
        <v>699</v>
      </c>
      <c r="B190" s="3" t="s">
        <v>22</v>
      </c>
      <c r="C190" s="3" t="s">
        <v>23</v>
      </c>
      <c r="D190" s="3" t="s">
        <v>25</v>
      </c>
      <c r="E190" s="5">
        <v>46142.75763888889</v>
      </c>
      <c r="F190" s="3" t="s">
        <v>869</v>
      </c>
      <c r="G190" s="3" t="s">
        <v>701</v>
      </c>
      <c r="H190" s="3" t="s">
        <v>700</v>
      </c>
      <c r="I190" s="9" t="s">
        <v>993</v>
      </c>
      <c r="J190" s="10">
        <v>8102025.0</v>
      </c>
      <c r="K190" s="10">
        <v>1.208202E7</v>
      </c>
      <c r="L190" s="3" t="s">
        <v>35</v>
      </c>
      <c r="M190" s="3" t="s">
        <v>36</v>
      </c>
      <c r="N190" s="11">
        <v>865.0</v>
      </c>
      <c r="O190" s="3" t="s">
        <v>37</v>
      </c>
    </row>
    <row r="191">
      <c r="A191" s="3" t="s">
        <v>994</v>
      </c>
      <c r="B191" s="3" t="s">
        <v>22</v>
      </c>
      <c r="C191" s="3" t="s">
        <v>23</v>
      </c>
      <c r="D191" s="3" t="s">
        <v>25</v>
      </c>
      <c r="E191" s="5">
        <v>46142.75763888889</v>
      </c>
      <c r="F191" s="3" t="s">
        <v>869</v>
      </c>
      <c r="G191" s="3" t="s">
        <v>996</v>
      </c>
      <c r="H191" s="3" t="s">
        <v>997</v>
      </c>
      <c r="I191" s="9" t="s">
        <v>998</v>
      </c>
      <c r="J191" s="10">
        <v>8102025.0</v>
      </c>
      <c r="K191" s="10">
        <v>1.308202E7</v>
      </c>
      <c r="L191" s="3" t="s">
        <v>35</v>
      </c>
      <c r="M191" s="3" t="s">
        <v>36</v>
      </c>
      <c r="N191" s="11">
        <v>865.0</v>
      </c>
      <c r="O191" s="3" t="s">
        <v>37</v>
      </c>
    </row>
    <row r="192">
      <c r="A192" s="3" t="s">
        <v>999</v>
      </c>
      <c r="B192" s="3" t="s">
        <v>22</v>
      </c>
      <c r="C192" s="3" t="s">
        <v>23</v>
      </c>
      <c r="D192" s="3" t="s">
        <v>25</v>
      </c>
      <c r="E192" s="5">
        <v>46142.75763888889</v>
      </c>
      <c r="F192" s="3" t="s">
        <v>869</v>
      </c>
      <c r="G192" s="3" t="s">
        <v>1000</v>
      </c>
      <c r="H192" s="3" t="s">
        <v>1001</v>
      </c>
      <c r="I192" s="9" t="s">
        <v>1002</v>
      </c>
      <c r="J192" s="10">
        <v>8102025.0</v>
      </c>
      <c r="K192" s="10">
        <v>1.708202E7</v>
      </c>
      <c r="L192" s="3" t="s">
        <v>35</v>
      </c>
      <c r="M192" s="3" t="s">
        <v>36</v>
      </c>
      <c r="N192" s="11">
        <v>865.0</v>
      </c>
      <c r="O192" s="3" t="s">
        <v>37</v>
      </c>
    </row>
    <row r="193">
      <c r="A193" s="3" t="s">
        <v>716</v>
      </c>
      <c r="B193" s="3" t="s">
        <v>22</v>
      </c>
      <c r="C193" s="3" t="s">
        <v>23</v>
      </c>
      <c r="D193" s="3" t="s">
        <v>25</v>
      </c>
      <c r="E193" s="5">
        <v>46142.75763888889</v>
      </c>
      <c r="F193" s="3" t="s">
        <v>869</v>
      </c>
      <c r="G193" s="3" t="s">
        <v>718</v>
      </c>
      <c r="H193" s="3" t="s">
        <v>717</v>
      </c>
      <c r="I193" s="9" t="s">
        <v>1004</v>
      </c>
      <c r="J193" s="10">
        <v>8102025.0</v>
      </c>
      <c r="K193" s="10">
        <v>1.409202E7</v>
      </c>
      <c r="L193" s="3" t="s">
        <v>35</v>
      </c>
      <c r="M193" s="3" t="s">
        <v>36</v>
      </c>
      <c r="N193" s="11">
        <v>865.0</v>
      </c>
      <c r="O193" s="3" t="s">
        <v>37</v>
      </c>
    </row>
    <row r="194">
      <c r="A194" s="3" t="s">
        <v>1006</v>
      </c>
      <c r="B194" s="3" t="s">
        <v>22</v>
      </c>
      <c r="C194" s="3" t="s">
        <v>23</v>
      </c>
      <c r="D194" s="3" t="s">
        <v>25</v>
      </c>
      <c r="E194" s="5">
        <v>46142.75763888889</v>
      </c>
      <c r="F194" s="3" t="s">
        <v>869</v>
      </c>
      <c r="G194" s="3" t="s">
        <v>1007</v>
      </c>
      <c r="H194" s="3" t="s">
        <v>1008</v>
      </c>
      <c r="I194" s="9" t="s">
        <v>1009</v>
      </c>
      <c r="J194" s="10">
        <v>8102025.0</v>
      </c>
      <c r="K194" s="10">
        <v>1.609202E7</v>
      </c>
      <c r="L194" s="3" t="s">
        <v>35</v>
      </c>
      <c r="M194" s="3" t="s">
        <v>36</v>
      </c>
      <c r="N194" s="11">
        <v>865.0</v>
      </c>
      <c r="O194" s="3" t="s">
        <v>37</v>
      </c>
    </row>
    <row r="195">
      <c r="A195" s="3" t="s">
        <v>721</v>
      </c>
      <c r="B195" s="3" t="s">
        <v>22</v>
      </c>
      <c r="C195" s="3" t="s">
        <v>23</v>
      </c>
      <c r="D195" s="3" t="s">
        <v>25</v>
      </c>
      <c r="E195" s="5">
        <v>46142.75763888889</v>
      </c>
      <c r="F195" s="3" t="s">
        <v>869</v>
      </c>
      <c r="G195" s="3" t="s">
        <v>723</v>
      </c>
      <c r="H195" s="3" t="s">
        <v>722</v>
      </c>
      <c r="I195" s="9" t="s">
        <v>1011</v>
      </c>
      <c r="J195" s="10">
        <v>8102025.0</v>
      </c>
      <c r="K195" s="10">
        <v>2.409202E7</v>
      </c>
      <c r="L195" s="3" t="s">
        <v>35</v>
      </c>
      <c r="M195" s="3" t="s">
        <v>36</v>
      </c>
      <c r="N195" s="11">
        <v>865.0</v>
      </c>
      <c r="O195" s="3" t="s">
        <v>37</v>
      </c>
    </row>
    <row r="196">
      <c r="A196" s="3" t="s">
        <v>1013</v>
      </c>
      <c r="B196" s="3" t="s">
        <v>22</v>
      </c>
      <c r="C196" s="3" t="s">
        <v>23</v>
      </c>
      <c r="D196" s="3" t="s">
        <v>25</v>
      </c>
      <c r="E196" s="5">
        <v>46142.75763888889</v>
      </c>
      <c r="F196" s="3" t="s">
        <v>869</v>
      </c>
      <c r="G196" s="3" t="s">
        <v>1014</v>
      </c>
      <c r="H196" s="3" t="s">
        <v>1015</v>
      </c>
      <c r="I196" s="9" t="s">
        <v>1016</v>
      </c>
      <c r="J196" s="10">
        <v>8102025.0</v>
      </c>
      <c r="K196" s="10">
        <v>2.909202E7</v>
      </c>
      <c r="L196" s="3" t="s">
        <v>35</v>
      </c>
      <c r="M196" s="3" t="s">
        <v>36</v>
      </c>
      <c r="N196" s="11">
        <v>865.0</v>
      </c>
      <c r="O196" s="3" t="s">
        <v>37</v>
      </c>
    </row>
    <row r="197">
      <c r="A197" s="3" t="s">
        <v>1018</v>
      </c>
      <c r="B197" s="3" t="s">
        <v>22</v>
      </c>
      <c r="C197" s="3" t="s">
        <v>23</v>
      </c>
      <c r="D197" s="3" t="s">
        <v>25</v>
      </c>
      <c r="E197" s="5">
        <v>46142.75763888889</v>
      </c>
      <c r="F197" s="3" t="s">
        <v>869</v>
      </c>
      <c r="G197" s="3" t="s">
        <v>1019</v>
      </c>
      <c r="H197" s="3" t="s">
        <v>1020</v>
      </c>
      <c r="I197" s="9" t="s">
        <v>1021</v>
      </c>
      <c r="J197" s="10">
        <v>8102025.0</v>
      </c>
      <c r="K197" s="10">
        <v>5112020.0</v>
      </c>
      <c r="L197" s="3" t="s">
        <v>35</v>
      </c>
      <c r="M197" s="3" t="s">
        <v>36</v>
      </c>
      <c r="N197" s="11">
        <v>865.0</v>
      </c>
      <c r="O197" s="3" t="s">
        <v>37</v>
      </c>
    </row>
    <row r="198">
      <c r="A198" s="3" t="s">
        <v>1023</v>
      </c>
      <c r="B198" s="3" t="s">
        <v>22</v>
      </c>
      <c r="C198" s="3" t="s">
        <v>23</v>
      </c>
      <c r="D198" s="3" t="s">
        <v>25</v>
      </c>
      <c r="E198" s="5">
        <v>46142.75763888889</v>
      </c>
      <c r="F198" s="3" t="s">
        <v>869</v>
      </c>
      <c r="G198" s="3" t="s">
        <v>1024</v>
      </c>
      <c r="H198" s="3" t="s">
        <v>1025</v>
      </c>
      <c r="I198" s="9" t="s">
        <v>1026</v>
      </c>
      <c r="J198" s="10">
        <v>8102025.0</v>
      </c>
      <c r="K198" s="10">
        <v>1.111202E7</v>
      </c>
      <c r="L198" s="3" t="s">
        <v>35</v>
      </c>
      <c r="M198" s="3" t="s">
        <v>36</v>
      </c>
      <c r="N198" s="11">
        <v>865.0</v>
      </c>
      <c r="O198" s="3" t="s">
        <v>37</v>
      </c>
    </row>
    <row r="199">
      <c r="A199" s="3" t="s">
        <v>921</v>
      </c>
      <c r="B199" s="3" t="s">
        <v>22</v>
      </c>
      <c r="C199" s="3" t="s">
        <v>23</v>
      </c>
      <c r="D199" s="3" t="s">
        <v>25</v>
      </c>
      <c r="E199" s="5">
        <v>46142.75763888889</v>
      </c>
      <c r="F199" s="3" t="s">
        <v>117</v>
      </c>
      <c r="G199" s="3" t="s">
        <v>926</v>
      </c>
      <c r="H199" s="3" t="s">
        <v>923</v>
      </c>
      <c r="I199" s="9" t="s">
        <v>1028</v>
      </c>
      <c r="J199" s="10">
        <v>8102025.0</v>
      </c>
      <c r="K199" s="10">
        <v>1.111202E7</v>
      </c>
      <c r="L199" s="3" t="s">
        <v>35</v>
      </c>
      <c r="M199" s="3" t="s">
        <v>36</v>
      </c>
      <c r="N199" s="11">
        <v>865.0</v>
      </c>
      <c r="O199" s="3" t="s">
        <v>37</v>
      </c>
    </row>
    <row r="200">
      <c r="A200" s="3" t="s">
        <v>1030</v>
      </c>
      <c r="B200" s="3" t="s">
        <v>22</v>
      </c>
      <c r="C200" s="3" t="s">
        <v>23</v>
      </c>
      <c r="D200" s="3" t="s">
        <v>25</v>
      </c>
      <c r="E200" s="5">
        <v>46142.75763888889</v>
      </c>
      <c r="F200" s="3" t="s">
        <v>869</v>
      </c>
      <c r="G200" s="3" t="s">
        <v>1031</v>
      </c>
      <c r="H200" s="3" t="s">
        <v>1032</v>
      </c>
      <c r="I200" s="9" t="s">
        <v>1033</v>
      </c>
      <c r="J200" s="10">
        <v>8102025.0</v>
      </c>
      <c r="K200" s="10">
        <v>1.211202E7</v>
      </c>
      <c r="L200" s="3" t="s">
        <v>35</v>
      </c>
      <c r="M200" s="3" t="s">
        <v>36</v>
      </c>
      <c r="N200" s="11">
        <v>865.0</v>
      </c>
      <c r="O200" s="3" t="s">
        <v>37</v>
      </c>
    </row>
    <row r="201">
      <c r="A201" s="3" t="s">
        <v>1035</v>
      </c>
      <c r="B201" s="3" t="s">
        <v>22</v>
      </c>
      <c r="C201" s="3" t="s">
        <v>23</v>
      </c>
      <c r="D201" s="3" t="s">
        <v>25</v>
      </c>
      <c r="E201" s="5">
        <v>46142.75763888889</v>
      </c>
      <c r="F201" s="3" t="s">
        <v>869</v>
      </c>
      <c r="G201" s="3" t="s">
        <v>1036</v>
      </c>
      <c r="H201" s="3" t="s">
        <v>1037</v>
      </c>
      <c r="I201" s="9" t="s">
        <v>1038</v>
      </c>
      <c r="J201" s="10">
        <v>8102025.0</v>
      </c>
      <c r="K201" s="10">
        <v>2.711202E7</v>
      </c>
      <c r="L201" s="3" t="s">
        <v>35</v>
      </c>
      <c r="M201" s="3" t="s">
        <v>36</v>
      </c>
      <c r="N201" s="11">
        <v>865.0</v>
      </c>
      <c r="O201" s="3" t="s">
        <v>37</v>
      </c>
    </row>
    <row r="202">
      <c r="A202" s="3" t="s">
        <v>1040</v>
      </c>
      <c r="B202" s="3" t="s">
        <v>22</v>
      </c>
      <c r="C202" s="3" t="s">
        <v>23</v>
      </c>
      <c r="D202" s="3" t="s">
        <v>25</v>
      </c>
      <c r="E202" s="5">
        <v>46142.75763888889</v>
      </c>
      <c r="F202" s="3" t="s">
        <v>869</v>
      </c>
      <c r="G202" s="3" t="s">
        <v>1041</v>
      </c>
      <c r="H202" s="3" t="s">
        <v>1042</v>
      </c>
      <c r="I202" s="9" t="s">
        <v>1043</v>
      </c>
      <c r="J202" s="10">
        <v>8102025.0</v>
      </c>
      <c r="K202" s="10">
        <v>3.011202E7</v>
      </c>
      <c r="L202" s="3" t="s">
        <v>35</v>
      </c>
      <c r="M202" s="3" t="s">
        <v>36</v>
      </c>
      <c r="N202" s="11">
        <v>865.0</v>
      </c>
      <c r="O202" s="3" t="s">
        <v>37</v>
      </c>
    </row>
    <row r="203">
      <c r="A203" s="3" t="s">
        <v>1045</v>
      </c>
      <c r="B203" s="3" t="s">
        <v>22</v>
      </c>
      <c r="C203" s="3" t="s">
        <v>23</v>
      </c>
      <c r="D203" s="3" t="s">
        <v>25</v>
      </c>
      <c r="E203" s="5">
        <v>46142.75763888889</v>
      </c>
      <c r="F203" s="3" t="s">
        <v>869</v>
      </c>
      <c r="G203" s="3" t="s">
        <v>1046</v>
      </c>
      <c r="H203" s="3" t="s">
        <v>1047</v>
      </c>
      <c r="I203" s="9" t="s">
        <v>1048</v>
      </c>
      <c r="J203" s="10">
        <v>8102025.0</v>
      </c>
      <c r="K203" s="10">
        <v>9122020.0</v>
      </c>
      <c r="L203" s="3" t="s">
        <v>35</v>
      </c>
      <c r="M203" s="3" t="s">
        <v>36</v>
      </c>
      <c r="N203" s="11">
        <v>865.0</v>
      </c>
      <c r="O203" s="3" t="s">
        <v>37</v>
      </c>
    </row>
    <row r="204">
      <c r="A204" s="3" t="s">
        <v>1050</v>
      </c>
      <c r="B204" s="3" t="s">
        <v>22</v>
      </c>
      <c r="C204" s="3" t="s">
        <v>23</v>
      </c>
      <c r="D204" s="3" t="s">
        <v>25</v>
      </c>
      <c r="E204" s="5">
        <v>46142.75763888889</v>
      </c>
      <c r="F204" s="3" t="s">
        <v>869</v>
      </c>
      <c r="G204" s="3" t="s">
        <v>1051</v>
      </c>
      <c r="H204" s="3" t="s">
        <v>1052</v>
      </c>
      <c r="I204" s="9" t="s">
        <v>1053</v>
      </c>
      <c r="J204" s="10">
        <v>8102025.0</v>
      </c>
      <c r="K204" s="10">
        <v>1.412202E7</v>
      </c>
      <c r="L204" s="3" t="s">
        <v>35</v>
      </c>
      <c r="M204" s="3" t="s">
        <v>36</v>
      </c>
      <c r="N204" s="11">
        <v>865.0</v>
      </c>
      <c r="O204" s="3" t="s">
        <v>37</v>
      </c>
    </row>
    <row r="205">
      <c r="A205" s="3" t="s">
        <v>1055</v>
      </c>
      <c r="B205" s="3" t="s">
        <v>22</v>
      </c>
      <c r="C205" s="3" t="s">
        <v>23</v>
      </c>
      <c r="D205" s="3" t="s">
        <v>25</v>
      </c>
      <c r="E205" s="5">
        <v>46142.75763888889</v>
      </c>
      <c r="F205" s="3" t="s">
        <v>869</v>
      </c>
      <c r="G205" s="3" t="s">
        <v>1056</v>
      </c>
      <c r="H205" s="3" t="s">
        <v>1057</v>
      </c>
      <c r="I205" s="9" t="s">
        <v>1058</v>
      </c>
      <c r="J205" s="10">
        <v>8102025.0</v>
      </c>
      <c r="K205" s="10">
        <v>4012021.0</v>
      </c>
      <c r="L205" s="3" t="s">
        <v>35</v>
      </c>
      <c r="M205" s="3" t="s">
        <v>36</v>
      </c>
      <c r="N205" s="11">
        <v>865.0</v>
      </c>
      <c r="O205" s="3" t="s">
        <v>37</v>
      </c>
    </row>
    <row r="206">
      <c r="A206" s="3" t="s">
        <v>1060</v>
      </c>
      <c r="B206" s="3" t="s">
        <v>22</v>
      </c>
      <c r="C206" s="3" t="s">
        <v>23</v>
      </c>
      <c r="D206" s="3" t="s">
        <v>25</v>
      </c>
      <c r="E206" s="5">
        <v>46142.75763888889</v>
      </c>
      <c r="F206" s="3" t="s">
        <v>869</v>
      </c>
      <c r="G206" s="3" t="s">
        <v>1061</v>
      </c>
      <c r="H206" s="3" t="s">
        <v>1062</v>
      </c>
      <c r="I206" s="9" t="s">
        <v>1063</v>
      </c>
      <c r="J206" s="10">
        <v>8102025.0</v>
      </c>
      <c r="K206" s="10">
        <v>5012021.0</v>
      </c>
      <c r="L206" s="3" t="s">
        <v>35</v>
      </c>
      <c r="M206" s="3" t="s">
        <v>36</v>
      </c>
      <c r="N206" s="11">
        <v>865.0</v>
      </c>
      <c r="O206" s="3" t="s">
        <v>37</v>
      </c>
    </row>
    <row r="207">
      <c r="A207" s="3" t="s">
        <v>1065</v>
      </c>
      <c r="B207" s="3" t="s">
        <v>22</v>
      </c>
      <c r="C207" s="3" t="s">
        <v>23</v>
      </c>
      <c r="D207" s="3" t="s">
        <v>25</v>
      </c>
      <c r="E207" s="5">
        <v>46142.75763888889</v>
      </c>
      <c r="F207" s="3" t="s">
        <v>869</v>
      </c>
      <c r="G207" s="3" t="s">
        <v>1066</v>
      </c>
      <c r="H207" s="3" t="s">
        <v>1067</v>
      </c>
      <c r="I207" s="9" t="s">
        <v>1068</v>
      </c>
      <c r="J207" s="10">
        <v>8102025.0</v>
      </c>
      <c r="K207" s="10">
        <v>5012021.0</v>
      </c>
      <c r="L207" s="3" t="s">
        <v>35</v>
      </c>
      <c r="M207" s="3" t="s">
        <v>36</v>
      </c>
      <c r="N207" s="11">
        <v>865.0</v>
      </c>
      <c r="O207" s="3" t="s">
        <v>37</v>
      </c>
    </row>
    <row r="208">
      <c r="A208" s="3" t="s">
        <v>1069</v>
      </c>
      <c r="B208" s="3" t="s">
        <v>22</v>
      </c>
      <c r="C208" s="3" t="s">
        <v>23</v>
      </c>
      <c r="D208" s="3" t="s">
        <v>25</v>
      </c>
      <c r="E208" s="5">
        <v>46142.75763888889</v>
      </c>
      <c r="F208" s="3" t="s">
        <v>869</v>
      </c>
      <c r="G208" s="3" t="s">
        <v>1070</v>
      </c>
      <c r="H208" s="3" t="s">
        <v>1071</v>
      </c>
      <c r="I208" s="9" t="s">
        <v>1072</v>
      </c>
      <c r="J208" s="10">
        <v>2.1102025E7</v>
      </c>
      <c r="K208" s="10">
        <v>5012021.0</v>
      </c>
      <c r="L208" s="3" t="s">
        <v>35</v>
      </c>
      <c r="M208" s="3" t="s">
        <v>36</v>
      </c>
      <c r="N208" s="11">
        <v>865.0</v>
      </c>
      <c r="O208" s="3" t="s">
        <v>37</v>
      </c>
    </row>
    <row r="209">
      <c r="A209" s="3" t="s">
        <v>1074</v>
      </c>
      <c r="B209" s="3" t="s">
        <v>22</v>
      </c>
      <c r="C209" s="3" t="s">
        <v>23</v>
      </c>
      <c r="D209" s="3" t="s">
        <v>25</v>
      </c>
      <c r="E209" s="5">
        <v>46142.75763888889</v>
      </c>
      <c r="F209" s="3" t="s">
        <v>869</v>
      </c>
      <c r="G209" s="3" t="s">
        <v>1075</v>
      </c>
      <c r="H209" s="3" t="s">
        <v>1076</v>
      </c>
      <c r="I209" s="9" t="s">
        <v>1077</v>
      </c>
      <c r="J209" s="10">
        <v>8102025.0</v>
      </c>
      <c r="K209" s="10">
        <v>5012021.0</v>
      </c>
      <c r="L209" s="3" t="s">
        <v>35</v>
      </c>
      <c r="M209" s="3" t="s">
        <v>36</v>
      </c>
      <c r="N209" s="11">
        <v>865.0</v>
      </c>
      <c r="O209" s="3" t="s">
        <v>37</v>
      </c>
    </row>
    <row r="210">
      <c r="A210" s="3" t="s">
        <v>1079</v>
      </c>
      <c r="B210" s="3" t="s">
        <v>22</v>
      </c>
      <c r="C210" s="3" t="s">
        <v>23</v>
      </c>
      <c r="D210" s="3" t="s">
        <v>25</v>
      </c>
      <c r="E210" s="5">
        <v>46142.75763888889</v>
      </c>
      <c r="F210" s="3" t="s">
        <v>869</v>
      </c>
      <c r="G210" s="3" t="s">
        <v>1080</v>
      </c>
      <c r="H210" s="3" t="s">
        <v>1081</v>
      </c>
      <c r="I210" s="9" t="s">
        <v>1082</v>
      </c>
      <c r="J210" s="10">
        <v>8102025.0</v>
      </c>
      <c r="K210" s="10">
        <v>6012021.0</v>
      </c>
      <c r="L210" s="3" t="s">
        <v>35</v>
      </c>
      <c r="M210" s="3" t="s">
        <v>36</v>
      </c>
      <c r="N210" s="11">
        <v>865.0</v>
      </c>
      <c r="O210" s="3" t="s">
        <v>37</v>
      </c>
    </row>
    <row r="211">
      <c r="A211" s="3" t="s">
        <v>1084</v>
      </c>
      <c r="B211" s="3" t="s">
        <v>22</v>
      </c>
      <c r="C211" s="3" t="s">
        <v>23</v>
      </c>
      <c r="D211" s="3" t="s">
        <v>25</v>
      </c>
      <c r="E211" s="5">
        <v>46142.75763888889</v>
      </c>
      <c r="F211" s="3" t="s">
        <v>869</v>
      </c>
      <c r="G211" s="3" t="s">
        <v>1085</v>
      </c>
      <c r="H211" s="3" t="s">
        <v>1086</v>
      </c>
      <c r="I211" s="9" t="s">
        <v>1087</v>
      </c>
      <c r="J211" s="10">
        <v>8102025.0</v>
      </c>
      <c r="K211" s="10">
        <v>7012021.0</v>
      </c>
      <c r="L211" s="3" t="s">
        <v>35</v>
      </c>
      <c r="M211" s="3" t="s">
        <v>36</v>
      </c>
      <c r="N211" s="11">
        <v>865.0</v>
      </c>
      <c r="O211" s="3" t="s">
        <v>37</v>
      </c>
    </row>
    <row r="212">
      <c r="A212" s="3" t="s">
        <v>1089</v>
      </c>
      <c r="B212" s="3" t="s">
        <v>22</v>
      </c>
      <c r="C212" s="3" t="s">
        <v>23</v>
      </c>
      <c r="D212" s="3" t="s">
        <v>25</v>
      </c>
      <c r="E212" s="5">
        <v>46142.75763888889</v>
      </c>
      <c r="F212" s="3" t="s">
        <v>869</v>
      </c>
      <c r="G212" s="3" t="s">
        <v>1090</v>
      </c>
      <c r="H212" s="3" t="s">
        <v>1091</v>
      </c>
      <c r="I212" s="9" t="s">
        <v>1092</v>
      </c>
      <c r="J212" s="10">
        <v>8102025.0</v>
      </c>
      <c r="K212" s="10">
        <v>7012021.0</v>
      </c>
      <c r="L212" s="3" t="s">
        <v>35</v>
      </c>
      <c r="M212" s="3" t="s">
        <v>36</v>
      </c>
      <c r="N212" s="11">
        <v>865.0</v>
      </c>
      <c r="O212" s="3" t="s">
        <v>37</v>
      </c>
    </row>
    <row r="213">
      <c r="A213" s="3" t="s">
        <v>1094</v>
      </c>
      <c r="B213" s="3" t="s">
        <v>22</v>
      </c>
      <c r="C213" s="3" t="s">
        <v>23</v>
      </c>
      <c r="D213" s="3" t="s">
        <v>25</v>
      </c>
      <c r="E213" s="5">
        <v>46142.75763888889</v>
      </c>
      <c r="F213" s="3" t="s">
        <v>869</v>
      </c>
      <c r="G213" s="3" t="s">
        <v>1095</v>
      </c>
      <c r="H213" s="3" t="s">
        <v>1096</v>
      </c>
      <c r="I213" s="9" t="s">
        <v>1097</v>
      </c>
      <c r="J213" s="10">
        <v>8102025.0</v>
      </c>
      <c r="K213" s="10">
        <v>1.0012021E7</v>
      </c>
      <c r="L213" s="3" t="s">
        <v>35</v>
      </c>
      <c r="M213" s="3" t="s">
        <v>36</v>
      </c>
      <c r="N213" s="11">
        <v>865.0</v>
      </c>
      <c r="O213" s="3" t="s">
        <v>37</v>
      </c>
    </row>
    <row r="214">
      <c r="A214" s="3" t="s">
        <v>1099</v>
      </c>
      <c r="B214" s="3" t="s">
        <v>22</v>
      </c>
      <c r="C214" s="3" t="s">
        <v>23</v>
      </c>
      <c r="D214" s="3" t="s">
        <v>25</v>
      </c>
      <c r="E214" s="5">
        <v>46142.75763888889</v>
      </c>
      <c r="F214" s="3" t="s">
        <v>869</v>
      </c>
      <c r="G214" s="3" t="s">
        <v>1100</v>
      </c>
      <c r="H214" s="3" t="s">
        <v>1101</v>
      </c>
      <c r="I214" s="9" t="s">
        <v>1102</v>
      </c>
      <c r="J214" s="10">
        <v>2.1102025E7</v>
      </c>
      <c r="K214" s="10">
        <v>1.0012021E7</v>
      </c>
      <c r="L214" s="3" t="s">
        <v>35</v>
      </c>
      <c r="M214" s="3" t="s">
        <v>36</v>
      </c>
      <c r="N214" s="11">
        <v>865.0</v>
      </c>
      <c r="O214" s="3" t="s">
        <v>37</v>
      </c>
    </row>
    <row r="215">
      <c r="A215" s="3" t="s">
        <v>1104</v>
      </c>
      <c r="B215" s="3" t="s">
        <v>22</v>
      </c>
      <c r="C215" s="3" t="s">
        <v>23</v>
      </c>
      <c r="D215" s="3" t="s">
        <v>25</v>
      </c>
      <c r="E215" s="5">
        <v>46142.75763888889</v>
      </c>
      <c r="F215" s="3" t="s">
        <v>869</v>
      </c>
      <c r="G215" s="3" t="s">
        <v>1105</v>
      </c>
      <c r="H215" s="3" t="s">
        <v>1106</v>
      </c>
      <c r="I215" s="9" t="s">
        <v>1107</v>
      </c>
      <c r="J215" s="10">
        <v>8102025.0</v>
      </c>
      <c r="K215" s="10">
        <v>1.1012021E7</v>
      </c>
      <c r="L215" s="3" t="s">
        <v>35</v>
      </c>
      <c r="M215" s="3" t="s">
        <v>36</v>
      </c>
      <c r="N215" s="11">
        <v>865.0</v>
      </c>
      <c r="O215" s="3" t="s">
        <v>37</v>
      </c>
    </row>
    <row r="216">
      <c r="A216" s="3" t="s">
        <v>1108</v>
      </c>
      <c r="B216" s="3" t="s">
        <v>22</v>
      </c>
      <c r="C216" s="3" t="s">
        <v>23</v>
      </c>
      <c r="D216" s="3" t="s">
        <v>25</v>
      </c>
      <c r="E216" s="5">
        <v>46240.66805555556</v>
      </c>
      <c r="F216" s="3" t="s">
        <v>869</v>
      </c>
      <c r="G216" s="3" t="s">
        <v>1110</v>
      </c>
      <c r="H216" s="3" t="s">
        <v>1111</v>
      </c>
      <c r="I216" s="9" t="s">
        <v>1112</v>
      </c>
      <c r="J216" s="10">
        <v>1.0112025E7</v>
      </c>
      <c r="K216" s="10">
        <v>3112022.0</v>
      </c>
      <c r="L216" s="3" t="s">
        <v>35</v>
      </c>
      <c r="M216" s="3" t="s">
        <v>36</v>
      </c>
      <c r="N216" s="11">
        <v>865.0</v>
      </c>
      <c r="O216" s="3" t="s">
        <v>37</v>
      </c>
    </row>
    <row r="217">
      <c r="A217" s="3" t="s">
        <v>1113</v>
      </c>
      <c r="B217" s="3" t="s">
        <v>22</v>
      </c>
      <c r="C217" s="3" t="s">
        <v>23</v>
      </c>
      <c r="D217" s="3" t="s">
        <v>25</v>
      </c>
      <c r="E217" s="5">
        <v>46240.38888888889</v>
      </c>
      <c r="F217" s="3" t="s">
        <v>1114</v>
      </c>
      <c r="G217" s="3" t="s">
        <v>1115</v>
      </c>
      <c r="H217" s="3" t="s">
        <v>1116</v>
      </c>
      <c r="I217" s="9" t="s">
        <v>1118</v>
      </c>
      <c r="J217" s="10">
        <v>1.3072026E7</v>
      </c>
      <c r="K217" s="10">
        <v>2.3022023E7</v>
      </c>
      <c r="L217" s="3" t="s">
        <v>35</v>
      </c>
      <c r="M217" s="3" t="s">
        <v>36</v>
      </c>
      <c r="N217" s="29"/>
      <c r="O217" s="3" t="s">
        <v>37</v>
      </c>
    </row>
    <row r="218">
      <c r="A218" s="3" t="s">
        <v>1120</v>
      </c>
      <c r="B218" s="3" t="s">
        <v>22</v>
      </c>
      <c r="C218" s="3" t="s">
        <v>23</v>
      </c>
      <c r="D218" s="3" t="s">
        <v>25</v>
      </c>
      <c r="E218" s="5">
        <v>46240.38888888889</v>
      </c>
      <c r="F218" s="3" t="s">
        <v>1114</v>
      </c>
      <c r="G218" s="3" t="s">
        <v>1121</v>
      </c>
      <c r="H218" s="3" t="s">
        <v>1122</v>
      </c>
      <c r="I218" s="9" t="s">
        <v>1123</v>
      </c>
      <c r="J218" s="10">
        <v>1.3072026E7</v>
      </c>
      <c r="K218" s="10">
        <v>2.3022023E7</v>
      </c>
      <c r="L218" s="3" t="s">
        <v>35</v>
      </c>
      <c r="M218" s="3" t="s">
        <v>36</v>
      </c>
      <c r="N218" s="29"/>
      <c r="O218" s="3" t="s">
        <v>37</v>
      </c>
    </row>
    <row r="219">
      <c r="A219" s="3" t="s">
        <v>1126</v>
      </c>
      <c r="B219" s="3" t="s">
        <v>22</v>
      </c>
      <c r="C219" s="3" t="s">
        <v>23</v>
      </c>
      <c r="D219" s="3" t="s">
        <v>25</v>
      </c>
      <c r="E219" s="5">
        <v>46240.38888888889</v>
      </c>
      <c r="F219" s="3" t="s">
        <v>1114</v>
      </c>
      <c r="G219" s="3" t="s">
        <v>1127</v>
      </c>
      <c r="H219" s="3" t="s">
        <v>1128</v>
      </c>
      <c r="I219" s="9" t="s">
        <v>1129</v>
      </c>
      <c r="J219" s="10">
        <v>6082026.0</v>
      </c>
      <c r="K219" s="10">
        <v>2.3022023E7</v>
      </c>
      <c r="L219" s="3" t="s">
        <v>35</v>
      </c>
      <c r="M219" s="3" t="s">
        <v>36</v>
      </c>
      <c r="N219" s="29"/>
      <c r="O219" s="3" t="s">
        <v>37</v>
      </c>
    </row>
    <row r="220">
      <c r="A220" s="3" t="s">
        <v>1131</v>
      </c>
      <c r="B220" s="3" t="s">
        <v>22</v>
      </c>
      <c r="C220" s="3" t="s">
        <v>23</v>
      </c>
      <c r="D220" s="3" t="s">
        <v>25</v>
      </c>
      <c r="E220" s="5">
        <v>46240.38888888889</v>
      </c>
      <c r="F220" s="3" t="s">
        <v>1114</v>
      </c>
      <c r="G220" s="3" t="s">
        <v>1132</v>
      </c>
      <c r="H220" s="3" t="s">
        <v>1133</v>
      </c>
      <c r="I220" s="9" t="s">
        <v>1134</v>
      </c>
      <c r="J220" s="10">
        <v>1.3072026E7</v>
      </c>
      <c r="K220" s="10">
        <v>2.3022023E7</v>
      </c>
      <c r="L220" s="3" t="s">
        <v>35</v>
      </c>
      <c r="M220" s="3" t="s">
        <v>36</v>
      </c>
      <c r="N220" s="29"/>
      <c r="O220" s="3" t="s">
        <v>37</v>
      </c>
    </row>
    <row r="221">
      <c r="A221" s="3" t="s">
        <v>1135</v>
      </c>
      <c r="B221" s="3" t="s">
        <v>22</v>
      </c>
      <c r="C221" s="3" t="s">
        <v>23</v>
      </c>
      <c r="D221" s="3" t="s">
        <v>25</v>
      </c>
      <c r="E221" s="5">
        <v>46240.38888888889</v>
      </c>
      <c r="F221" s="3" t="s">
        <v>1114</v>
      </c>
      <c r="G221" s="3" t="s">
        <v>1137</v>
      </c>
      <c r="H221" s="3" t="s">
        <v>1138</v>
      </c>
      <c r="I221" s="9" t="s">
        <v>1139</v>
      </c>
      <c r="J221" s="10">
        <v>1.3072026E7</v>
      </c>
      <c r="K221" s="10">
        <v>2.3022023E7</v>
      </c>
      <c r="L221" s="3" t="s">
        <v>35</v>
      </c>
      <c r="M221" s="3" t="s">
        <v>36</v>
      </c>
      <c r="N221" s="29"/>
      <c r="O221" s="3" t="s">
        <v>37</v>
      </c>
    </row>
    <row r="222">
      <c r="A222" s="3" t="s">
        <v>1141</v>
      </c>
      <c r="B222" s="3" t="s">
        <v>22</v>
      </c>
      <c r="C222" s="3" t="s">
        <v>23</v>
      </c>
      <c r="D222" s="3" t="s">
        <v>25</v>
      </c>
      <c r="E222" s="5">
        <v>46240.38888888889</v>
      </c>
      <c r="F222" s="3" t="s">
        <v>1114</v>
      </c>
      <c r="G222" s="3" t="s">
        <v>1142</v>
      </c>
      <c r="H222" s="3" t="s">
        <v>1143</v>
      </c>
      <c r="I222" s="9" t="s">
        <v>1144</v>
      </c>
      <c r="J222" s="10">
        <v>1.3072026E7</v>
      </c>
      <c r="K222" s="10">
        <v>2.3022023E7</v>
      </c>
      <c r="L222" s="3" t="s">
        <v>35</v>
      </c>
      <c r="M222" s="3" t="s">
        <v>36</v>
      </c>
      <c r="N222" s="29"/>
      <c r="O222" s="3" t="s">
        <v>37</v>
      </c>
    </row>
    <row r="223">
      <c r="A223" s="3" t="s">
        <v>1146</v>
      </c>
      <c r="B223" s="3" t="s">
        <v>22</v>
      </c>
      <c r="C223" s="3" t="s">
        <v>23</v>
      </c>
      <c r="D223" s="3" t="s">
        <v>25</v>
      </c>
      <c r="E223" s="5">
        <v>46240.38888888889</v>
      </c>
      <c r="F223" s="3" t="s">
        <v>1114</v>
      </c>
      <c r="G223" s="3" t="s">
        <v>1148</v>
      </c>
      <c r="H223" s="3" t="s">
        <v>1149</v>
      </c>
      <c r="I223" s="9" t="s">
        <v>1150</v>
      </c>
      <c r="J223" s="10">
        <v>6082026.0</v>
      </c>
      <c r="K223" s="10">
        <v>2.3022023E7</v>
      </c>
      <c r="L223" s="3" t="s">
        <v>35</v>
      </c>
      <c r="M223" s="3" t="s">
        <v>36</v>
      </c>
      <c r="N223" s="29"/>
      <c r="O223" s="3" t="s">
        <v>37</v>
      </c>
    </row>
    <row r="224">
      <c r="A224" s="3" t="s">
        <v>1151</v>
      </c>
      <c r="B224" s="3" t="s">
        <v>22</v>
      </c>
      <c r="C224" s="3" t="s">
        <v>23</v>
      </c>
      <c r="D224" s="3" t="s">
        <v>25</v>
      </c>
      <c r="E224" s="5">
        <v>46240.38888888889</v>
      </c>
      <c r="F224" s="3" t="s">
        <v>1114</v>
      </c>
      <c r="G224" s="3" t="s">
        <v>1152</v>
      </c>
      <c r="H224" s="3" t="s">
        <v>1154</v>
      </c>
      <c r="I224" s="9" t="s">
        <v>1155</v>
      </c>
      <c r="J224" s="10">
        <v>1.4012024E7</v>
      </c>
      <c r="K224" s="10">
        <v>2.3022023E7</v>
      </c>
      <c r="L224" s="3" t="s">
        <v>35</v>
      </c>
      <c r="M224" s="3" t="s">
        <v>36</v>
      </c>
      <c r="N224" s="29"/>
      <c r="O224" s="3" t="s">
        <v>37</v>
      </c>
    </row>
    <row r="225">
      <c r="A225" s="3" t="s">
        <v>1156</v>
      </c>
      <c r="B225" s="3" t="s">
        <v>22</v>
      </c>
      <c r="C225" s="3" t="s">
        <v>23</v>
      </c>
      <c r="D225" s="3" t="s">
        <v>25</v>
      </c>
      <c r="E225" s="5">
        <v>46240.38888888889</v>
      </c>
      <c r="F225" s="3" t="s">
        <v>1114</v>
      </c>
      <c r="G225" s="3" t="s">
        <v>1157</v>
      </c>
      <c r="H225" s="3" t="s">
        <v>1158</v>
      </c>
      <c r="I225" s="9" t="s">
        <v>1159</v>
      </c>
      <c r="J225" s="10">
        <v>1.4012024E7</v>
      </c>
      <c r="K225" s="10">
        <v>2.3022023E7</v>
      </c>
      <c r="L225" s="3" t="s">
        <v>35</v>
      </c>
      <c r="M225" s="3" t="s">
        <v>36</v>
      </c>
      <c r="N225" s="29"/>
      <c r="O225" s="3" t="s">
        <v>37</v>
      </c>
    </row>
    <row r="226">
      <c r="A226" s="3" t="s">
        <v>1161</v>
      </c>
      <c r="B226" s="3" t="s">
        <v>22</v>
      </c>
      <c r="C226" s="3" t="s">
        <v>23</v>
      </c>
      <c r="D226" s="3" t="s">
        <v>25</v>
      </c>
      <c r="E226" s="5">
        <v>46240.38888888889</v>
      </c>
      <c r="F226" s="3" t="s">
        <v>1114</v>
      </c>
      <c r="G226" s="3" t="s">
        <v>1162</v>
      </c>
      <c r="H226" s="3" t="s">
        <v>1163</v>
      </c>
      <c r="I226" s="9" t="s">
        <v>1164</v>
      </c>
      <c r="J226" s="10">
        <v>1.4012024E7</v>
      </c>
      <c r="K226" s="10">
        <v>2.3022023E7</v>
      </c>
      <c r="L226" s="3" t="s">
        <v>35</v>
      </c>
      <c r="M226" s="3" t="s">
        <v>36</v>
      </c>
      <c r="N226" s="29"/>
      <c r="O226" s="3" t="s">
        <v>37</v>
      </c>
    </row>
    <row r="227">
      <c r="A227" s="3" t="s">
        <v>1166</v>
      </c>
      <c r="B227" s="3" t="s">
        <v>22</v>
      </c>
      <c r="C227" s="3" t="s">
        <v>23</v>
      </c>
      <c r="D227" s="3" t="s">
        <v>25</v>
      </c>
      <c r="E227" s="5">
        <v>46240.38888888889</v>
      </c>
      <c r="F227" s="3" t="s">
        <v>1114</v>
      </c>
      <c r="G227" s="3" t="s">
        <v>1167</v>
      </c>
      <c r="H227" s="3" t="s">
        <v>1168</v>
      </c>
      <c r="I227" s="9" t="s">
        <v>1169</v>
      </c>
      <c r="J227" s="10">
        <v>1.3072026E7</v>
      </c>
      <c r="K227" s="10">
        <v>2.3022023E7</v>
      </c>
      <c r="L227" s="3" t="s">
        <v>35</v>
      </c>
      <c r="M227" s="3" t="s">
        <v>36</v>
      </c>
      <c r="N227" s="29"/>
      <c r="O227" s="3" t="s">
        <v>37</v>
      </c>
    </row>
    <row r="228">
      <c r="A228" s="3" t="s">
        <v>1171</v>
      </c>
      <c r="B228" s="3" t="s">
        <v>22</v>
      </c>
      <c r="C228" s="3" t="s">
        <v>23</v>
      </c>
      <c r="D228" s="3" t="s">
        <v>25</v>
      </c>
      <c r="E228" s="5">
        <v>46240.38888888889</v>
      </c>
      <c r="F228" s="3" t="s">
        <v>1114</v>
      </c>
      <c r="G228" s="3" t="s">
        <v>1172</v>
      </c>
      <c r="H228" s="3" t="s">
        <v>1173</v>
      </c>
      <c r="I228" s="9" t="s">
        <v>1174</v>
      </c>
      <c r="J228" s="10">
        <v>1.4012024E7</v>
      </c>
      <c r="K228" s="10">
        <v>2.3022023E7</v>
      </c>
      <c r="L228" s="3" t="s">
        <v>35</v>
      </c>
      <c r="M228" s="3" t="s">
        <v>36</v>
      </c>
      <c r="N228" s="29"/>
      <c r="O228" s="3" t="s">
        <v>37</v>
      </c>
    </row>
    <row r="229">
      <c r="A229" s="3" t="s">
        <v>1176</v>
      </c>
      <c r="B229" s="3" t="s">
        <v>22</v>
      </c>
      <c r="C229" s="3" t="s">
        <v>23</v>
      </c>
      <c r="D229" s="3" t="s">
        <v>25</v>
      </c>
      <c r="E229" s="5">
        <v>46240.38888888889</v>
      </c>
      <c r="F229" s="3" t="s">
        <v>1114</v>
      </c>
      <c r="G229" s="3" t="s">
        <v>1177</v>
      </c>
      <c r="H229" s="3" t="s">
        <v>1178</v>
      </c>
      <c r="I229" s="9" t="s">
        <v>1179</v>
      </c>
      <c r="J229" s="10">
        <v>1.4012024E7</v>
      </c>
      <c r="K229" s="10">
        <v>2.3022023E7</v>
      </c>
      <c r="L229" s="3" t="s">
        <v>35</v>
      </c>
      <c r="M229" s="3" t="s">
        <v>36</v>
      </c>
      <c r="N229" s="29"/>
      <c r="O229" s="3" t="s">
        <v>37</v>
      </c>
    </row>
    <row r="230">
      <c r="A230" s="3" t="s">
        <v>1181</v>
      </c>
      <c r="B230" s="3" t="s">
        <v>22</v>
      </c>
      <c r="C230" s="3" t="s">
        <v>23</v>
      </c>
      <c r="D230" s="3" t="s">
        <v>25</v>
      </c>
      <c r="E230" s="5">
        <v>46240.38888888889</v>
      </c>
      <c r="F230" s="3" t="s">
        <v>1114</v>
      </c>
      <c r="G230" s="3" t="s">
        <v>1182</v>
      </c>
      <c r="H230" s="3" t="s">
        <v>1183</v>
      </c>
      <c r="I230" s="9" t="s">
        <v>1184</v>
      </c>
      <c r="J230" s="10">
        <v>1.4012024E7</v>
      </c>
      <c r="K230" s="10">
        <v>2.3022023E7</v>
      </c>
      <c r="L230" s="3" t="s">
        <v>35</v>
      </c>
      <c r="M230" s="3" t="s">
        <v>36</v>
      </c>
      <c r="N230" s="29"/>
      <c r="O230" s="3" t="s">
        <v>37</v>
      </c>
    </row>
    <row r="231">
      <c r="A231" s="3" t="s">
        <v>1187</v>
      </c>
      <c r="B231" s="3" t="s">
        <v>22</v>
      </c>
      <c r="C231" s="3" t="s">
        <v>23</v>
      </c>
      <c r="D231" s="3" t="s">
        <v>25</v>
      </c>
      <c r="E231" s="5">
        <v>46240.38888888889</v>
      </c>
      <c r="F231" s="3" t="s">
        <v>1114</v>
      </c>
      <c r="G231" s="3" t="s">
        <v>1188</v>
      </c>
      <c r="H231" s="3" t="s">
        <v>1189</v>
      </c>
      <c r="I231" s="9" t="s">
        <v>1190</v>
      </c>
      <c r="J231" s="10">
        <v>1.4012024E7</v>
      </c>
      <c r="K231" s="10">
        <v>2.4022023E7</v>
      </c>
      <c r="L231" s="3" t="s">
        <v>35</v>
      </c>
      <c r="M231" s="3" t="s">
        <v>36</v>
      </c>
      <c r="N231" s="29"/>
      <c r="O231" s="3" t="s">
        <v>37</v>
      </c>
    </row>
    <row r="232">
      <c r="A232" s="3" t="s">
        <v>1193</v>
      </c>
      <c r="B232" s="3" t="s">
        <v>22</v>
      </c>
      <c r="C232" s="3" t="s">
        <v>23</v>
      </c>
      <c r="D232" s="3" t="s">
        <v>25</v>
      </c>
      <c r="E232" s="5">
        <v>46240.38888888889</v>
      </c>
      <c r="F232" s="3" t="s">
        <v>1114</v>
      </c>
      <c r="G232" s="3" t="s">
        <v>1194</v>
      </c>
      <c r="H232" s="3" t="s">
        <v>1195</v>
      </c>
      <c r="I232" s="9" t="s">
        <v>1196</v>
      </c>
      <c r="J232" s="10">
        <v>1.4012024E7</v>
      </c>
      <c r="K232" s="10">
        <v>2.4022023E7</v>
      </c>
      <c r="L232" s="3" t="s">
        <v>35</v>
      </c>
      <c r="M232" s="3" t="s">
        <v>36</v>
      </c>
      <c r="N232" s="29"/>
      <c r="O232" s="3" t="s">
        <v>37</v>
      </c>
    </row>
    <row r="233">
      <c r="A233" s="3" t="s">
        <v>1201</v>
      </c>
      <c r="B233" s="3" t="s">
        <v>22</v>
      </c>
      <c r="C233" s="3" t="s">
        <v>23</v>
      </c>
      <c r="D233" s="3" t="s">
        <v>25</v>
      </c>
      <c r="E233" s="5">
        <v>46240.38888888889</v>
      </c>
      <c r="F233" s="3" t="s">
        <v>1114</v>
      </c>
      <c r="G233" s="3" t="s">
        <v>1202</v>
      </c>
      <c r="H233" s="3" t="s">
        <v>1203</v>
      </c>
      <c r="I233" s="9" t="s">
        <v>1204</v>
      </c>
      <c r="J233" s="10">
        <v>1.4012024E7</v>
      </c>
      <c r="K233" s="10">
        <v>2.4022023E7</v>
      </c>
      <c r="L233" s="3" t="s">
        <v>35</v>
      </c>
      <c r="M233" s="3" t="s">
        <v>36</v>
      </c>
      <c r="N233" s="29"/>
      <c r="O233" s="3" t="s">
        <v>37</v>
      </c>
    </row>
    <row r="234">
      <c r="A234" s="3" t="s">
        <v>1209</v>
      </c>
      <c r="B234" s="3" t="s">
        <v>22</v>
      </c>
      <c r="C234" s="3" t="s">
        <v>23</v>
      </c>
      <c r="D234" s="3" t="s">
        <v>25</v>
      </c>
      <c r="E234" s="5">
        <v>46240.38888888889</v>
      </c>
      <c r="F234" s="3" t="s">
        <v>1114</v>
      </c>
      <c r="G234" s="3" t="s">
        <v>1210</v>
      </c>
      <c r="H234" s="3" t="s">
        <v>1211</v>
      </c>
      <c r="I234" s="9" t="s">
        <v>1212</v>
      </c>
      <c r="J234" s="10">
        <v>1.3072026E7</v>
      </c>
      <c r="K234" s="10">
        <v>2.4022023E7</v>
      </c>
      <c r="L234" s="3" t="s">
        <v>35</v>
      </c>
      <c r="M234" s="3" t="s">
        <v>36</v>
      </c>
      <c r="N234" s="29"/>
      <c r="O234" s="3" t="s">
        <v>37</v>
      </c>
    </row>
    <row r="235">
      <c r="A235" s="3" t="s">
        <v>1217</v>
      </c>
      <c r="B235" s="3" t="s">
        <v>22</v>
      </c>
      <c r="C235" s="3" t="s">
        <v>23</v>
      </c>
      <c r="D235" s="3" t="s">
        <v>25</v>
      </c>
      <c r="E235" s="5">
        <v>46240.38888888889</v>
      </c>
      <c r="F235" s="3" t="s">
        <v>1114</v>
      </c>
      <c r="G235" s="3" t="s">
        <v>1218</v>
      </c>
      <c r="H235" s="3" t="s">
        <v>1219</v>
      </c>
      <c r="I235" s="9" t="s">
        <v>1220</v>
      </c>
      <c r="J235" s="10">
        <v>1.3072026E7</v>
      </c>
      <c r="K235" s="10">
        <v>2.4022023E7</v>
      </c>
      <c r="L235" s="3" t="s">
        <v>35</v>
      </c>
      <c r="M235" s="3" t="s">
        <v>36</v>
      </c>
      <c r="N235" s="29"/>
      <c r="O235" s="3" t="s">
        <v>37</v>
      </c>
    </row>
    <row r="236">
      <c r="A236" s="3" t="s">
        <v>1225</v>
      </c>
      <c r="B236" s="3" t="s">
        <v>22</v>
      </c>
      <c r="C236" s="3" t="s">
        <v>23</v>
      </c>
      <c r="D236" s="3" t="s">
        <v>25</v>
      </c>
      <c r="E236" s="5">
        <v>46240.38958333333</v>
      </c>
      <c r="F236" s="3" t="s">
        <v>1114</v>
      </c>
      <c r="G236" s="3" t="s">
        <v>1226</v>
      </c>
      <c r="H236" s="3" t="s">
        <v>1227</v>
      </c>
      <c r="I236" s="9" t="s">
        <v>1228</v>
      </c>
      <c r="J236" s="10">
        <v>1.4012024E7</v>
      </c>
      <c r="K236" s="10">
        <v>1032023.0</v>
      </c>
      <c r="L236" s="3" t="s">
        <v>35</v>
      </c>
      <c r="M236" s="3" t="s">
        <v>36</v>
      </c>
      <c r="N236" s="29"/>
      <c r="O236" s="3" t="s">
        <v>37</v>
      </c>
    </row>
    <row r="237">
      <c r="A237" s="3" t="s">
        <v>1233</v>
      </c>
      <c r="B237" s="3" t="s">
        <v>22</v>
      </c>
      <c r="C237" s="3" t="s">
        <v>23</v>
      </c>
      <c r="D237" s="3" t="s">
        <v>25</v>
      </c>
      <c r="E237" s="5">
        <v>46240.38958333333</v>
      </c>
      <c r="F237" s="3" t="s">
        <v>1114</v>
      </c>
      <c r="G237" s="3" t="s">
        <v>1234</v>
      </c>
      <c r="H237" s="3" t="s">
        <v>1235</v>
      </c>
      <c r="I237" s="9" t="s">
        <v>1236</v>
      </c>
      <c r="J237" s="10">
        <v>1.4012024E7</v>
      </c>
      <c r="K237" s="10">
        <v>1032023.0</v>
      </c>
      <c r="L237" s="3" t="s">
        <v>35</v>
      </c>
      <c r="M237" s="3" t="s">
        <v>36</v>
      </c>
      <c r="N237" s="29"/>
      <c r="O237" s="3" t="s">
        <v>37</v>
      </c>
    </row>
    <row r="238">
      <c r="A238" s="3" t="s">
        <v>1241</v>
      </c>
      <c r="B238" s="3" t="s">
        <v>22</v>
      </c>
      <c r="C238" s="3" t="s">
        <v>23</v>
      </c>
      <c r="D238" s="3" t="s">
        <v>25</v>
      </c>
      <c r="E238" s="5">
        <v>46240.38888888889</v>
      </c>
      <c r="F238" s="3" t="s">
        <v>1114</v>
      </c>
      <c r="G238" s="3" t="s">
        <v>1242</v>
      </c>
      <c r="H238" s="3" t="s">
        <v>1243</v>
      </c>
      <c r="I238" s="9" t="s">
        <v>1244</v>
      </c>
      <c r="J238" s="10">
        <v>1.3072026E7</v>
      </c>
      <c r="K238" s="10">
        <v>1032023.0</v>
      </c>
      <c r="L238" s="3" t="s">
        <v>35</v>
      </c>
      <c r="M238" s="3" t="s">
        <v>36</v>
      </c>
      <c r="N238" s="29"/>
      <c r="O238" s="3" t="s">
        <v>37</v>
      </c>
    </row>
    <row r="239">
      <c r="A239" s="3" t="s">
        <v>1245</v>
      </c>
      <c r="B239" s="3" t="s">
        <v>22</v>
      </c>
      <c r="C239" s="3" t="s">
        <v>23</v>
      </c>
      <c r="D239" s="3" t="s">
        <v>25</v>
      </c>
      <c r="E239" s="5">
        <v>46240.38888888889</v>
      </c>
      <c r="F239" s="3" t="s">
        <v>1114</v>
      </c>
      <c r="G239" s="3" t="s">
        <v>1246</v>
      </c>
      <c r="H239" s="3" t="s">
        <v>1248</v>
      </c>
      <c r="I239" s="9" t="s">
        <v>1249</v>
      </c>
      <c r="J239" s="10">
        <v>1.4012024E7</v>
      </c>
      <c r="K239" s="10">
        <v>1032023.0</v>
      </c>
      <c r="L239" s="3" t="s">
        <v>35</v>
      </c>
      <c r="M239" s="3" t="s">
        <v>36</v>
      </c>
      <c r="N239" s="29"/>
      <c r="O239" s="3" t="s">
        <v>37</v>
      </c>
    </row>
    <row r="240">
      <c r="A240" s="3" t="s">
        <v>1250</v>
      </c>
      <c r="B240" s="3" t="s">
        <v>22</v>
      </c>
      <c r="C240" s="3" t="s">
        <v>23</v>
      </c>
      <c r="D240" s="3" t="s">
        <v>25</v>
      </c>
      <c r="E240" s="5">
        <v>46240.38888888889</v>
      </c>
      <c r="F240" s="3" t="s">
        <v>1114</v>
      </c>
      <c r="G240" s="3" t="s">
        <v>1251</v>
      </c>
      <c r="H240" s="3" t="s">
        <v>1252</v>
      </c>
      <c r="I240" s="9" t="s">
        <v>1253</v>
      </c>
      <c r="J240" s="10">
        <v>1.4012024E7</v>
      </c>
      <c r="K240" s="10">
        <v>1032023.0</v>
      </c>
      <c r="L240" s="3" t="s">
        <v>35</v>
      </c>
      <c r="M240" s="3" t="s">
        <v>36</v>
      </c>
      <c r="N240" s="29"/>
      <c r="O240" s="3" t="s">
        <v>37</v>
      </c>
    </row>
    <row r="241">
      <c r="A241" s="3" t="s">
        <v>1255</v>
      </c>
      <c r="B241" s="3" t="s">
        <v>22</v>
      </c>
      <c r="C241" s="3" t="s">
        <v>23</v>
      </c>
      <c r="D241" s="3" t="s">
        <v>25</v>
      </c>
      <c r="E241" s="5">
        <v>46240.38888888889</v>
      </c>
      <c r="F241" s="3" t="s">
        <v>1114</v>
      </c>
      <c r="G241" s="3" t="s">
        <v>1256</v>
      </c>
      <c r="H241" s="3" t="s">
        <v>1257</v>
      </c>
      <c r="I241" s="9" t="s">
        <v>1258</v>
      </c>
      <c r="J241" s="10">
        <v>6082026.0</v>
      </c>
      <c r="K241" s="10">
        <v>1032023.0</v>
      </c>
      <c r="L241" s="3" t="s">
        <v>35</v>
      </c>
      <c r="M241" s="3" t="s">
        <v>36</v>
      </c>
      <c r="N241" s="29"/>
      <c r="O241" s="3" t="s">
        <v>37</v>
      </c>
    </row>
    <row r="242">
      <c r="A242" s="3" t="s">
        <v>1263</v>
      </c>
      <c r="B242" s="3" t="s">
        <v>22</v>
      </c>
      <c r="C242" s="3" t="s">
        <v>23</v>
      </c>
      <c r="D242" s="3" t="s">
        <v>25</v>
      </c>
      <c r="E242" s="5">
        <v>46240.38888888889</v>
      </c>
      <c r="F242" s="3" t="s">
        <v>1114</v>
      </c>
      <c r="G242" s="3" t="s">
        <v>1264</v>
      </c>
      <c r="H242" s="3" t="s">
        <v>1265</v>
      </c>
      <c r="I242" s="9" t="s">
        <v>1266</v>
      </c>
      <c r="J242" s="10">
        <v>1.4012024E7</v>
      </c>
      <c r="K242" s="10">
        <v>1032023.0</v>
      </c>
      <c r="L242" s="3" t="s">
        <v>35</v>
      </c>
      <c r="M242" s="3" t="s">
        <v>36</v>
      </c>
      <c r="N242" s="29"/>
      <c r="O242" s="3" t="s">
        <v>37</v>
      </c>
    </row>
    <row r="243">
      <c r="A243" s="3" t="s">
        <v>1268</v>
      </c>
      <c r="B243" s="3" t="s">
        <v>22</v>
      </c>
      <c r="C243" s="3" t="s">
        <v>23</v>
      </c>
      <c r="D243" s="3" t="s">
        <v>25</v>
      </c>
      <c r="E243" s="5">
        <v>46240.38888888889</v>
      </c>
      <c r="F243" s="3" t="s">
        <v>1114</v>
      </c>
      <c r="G243" s="3" t="s">
        <v>1269</v>
      </c>
      <c r="H243" s="3" t="s">
        <v>1270</v>
      </c>
      <c r="I243" s="9" t="s">
        <v>1271</v>
      </c>
      <c r="J243" s="10">
        <v>1.3072026E7</v>
      </c>
      <c r="K243" s="10">
        <v>1032023.0</v>
      </c>
      <c r="L243" s="3" t="s">
        <v>35</v>
      </c>
      <c r="M243" s="3" t="s">
        <v>36</v>
      </c>
      <c r="N243" s="29"/>
      <c r="O243" s="3" t="s">
        <v>37</v>
      </c>
    </row>
    <row r="244">
      <c r="A244" s="3" t="s">
        <v>1273</v>
      </c>
      <c r="B244" s="3" t="s">
        <v>22</v>
      </c>
      <c r="C244" s="3" t="s">
        <v>23</v>
      </c>
      <c r="D244" s="3" t="s">
        <v>25</v>
      </c>
      <c r="E244" s="5">
        <v>46240.38888888889</v>
      </c>
      <c r="F244" s="3" t="s">
        <v>1114</v>
      </c>
      <c r="G244" s="3" t="s">
        <v>1274</v>
      </c>
      <c r="H244" s="3" t="s">
        <v>1275</v>
      </c>
      <c r="I244" s="9" t="s">
        <v>1276</v>
      </c>
      <c r="J244" s="10">
        <v>1.4012024E7</v>
      </c>
      <c r="K244" s="10">
        <v>1032023.0</v>
      </c>
      <c r="L244" s="3" t="s">
        <v>35</v>
      </c>
      <c r="M244" s="3" t="s">
        <v>36</v>
      </c>
      <c r="N244" s="29"/>
      <c r="O244" s="3" t="s">
        <v>37</v>
      </c>
    </row>
    <row r="245">
      <c r="A245" s="3" t="s">
        <v>1278</v>
      </c>
      <c r="B245" s="3" t="s">
        <v>22</v>
      </c>
      <c r="C245" s="3" t="s">
        <v>23</v>
      </c>
      <c r="D245" s="3" t="s">
        <v>25</v>
      </c>
      <c r="E245" s="5">
        <v>46240.38888888889</v>
      </c>
      <c r="F245" s="3" t="s">
        <v>1114</v>
      </c>
      <c r="G245" s="3" t="s">
        <v>1279</v>
      </c>
      <c r="H245" s="3" t="s">
        <v>1280</v>
      </c>
      <c r="I245" s="9" t="s">
        <v>1281</v>
      </c>
      <c r="J245" s="10">
        <v>1.3072026E7</v>
      </c>
      <c r="K245" s="10">
        <v>1032023.0</v>
      </c>
      <c r="L245" s="3" t="s">
        <v>35</v>
      </c>
      <c r="M245" s="3" t="s">
        <v>36</v>
      </c>
      <c r="N245" s="29"/>
      <c r="O245" s="3" t="s">
        <v>37</v>
      </c>
    </row>
    <row r="246">
      <c r="A246" s="3" t="s">
        <v>1283</v>
      </c>
      <c r="B246" s="3" t="s">
        <v>22</v>
      </c>
      <c r="C246" s="3" t="s">
        <v>23</v>
      </c>
      <c r="D246" s="3" t="s">
        <v>25</v>
      </c>
      <c r="E246" s="5">
        <v>46240.38888888889</v>
      </c>
      <c r="F246" s="3" t="s">
        <v>1114</v>
      </c>
      <c r="G246" s="3" t="s">
        <v>1284</v>
      </c>
      <c r="H246" s="3" t="s">
        <v>1285</v>
      </c>
      <c r="I246" s="9" t="s">
        <v>1286</v>
      </c>
      <c r="J246" s="10">
        <v>1.3072026E7</v>
      </c>
      <c r="K246" s="10">
        <v>1032023.0</v>
      </c>
      <c r="L246" s="3" t="s">
        <v>35</v>
      </c>
      <c r="M246" s="3" t="s">
        <v>36</v>
      </c>
      <c r="N246" s="29"/>
      <c r="O246" s="3" t="s">
        <v>37</v>
      </c>
    </row>
    <row r="247">
      <c r="A247" s="3" t="s">
        <v>1205</v>
      </c>
      <c r="B247" s="3" t="s">
        <v>22</v>
      </c>
      <c r="C247" s="3" t="s">
        <v>23</v>
      </c>
      <c r="D247" s="3" t="s">
        <v>25</v>
      </c>
      <c r="E247" s="5">
        <v>46240.66805555556</v>
      </c>
      <c r="F247" s="3" t="s">
        <v>869</v>
      </c>
      <c r="G247" s="3" t="s">
        <v>1207</v>
      </c>
      <c r="H247" s="3" t="s">
        <v>1206</v>
      </c>
      <c r="I247" s="9" t="s">
        <v>1288</v>
      </c>
      <c r="J247" s="10">
        <v>3112025.0</v>
      </c>
      <c r="K247" s="10">
        <v>2.5072024E7</v>
      </c>
      <c r="L247" s="3" t="s">
        <v>35</v>
      </c>
      <c r="M247" s="3" t="s">
        <v>36</v>
      </c>
      <c r="N247" s="11">
        <v>865.0</v>
      </c>
      <c r="O247" s="3" t="s">
        <v>37</v>
      </c>
    </row>
    <row r="248">
      <c r="A248" s="3" t="s">
        <v>1290</v>
      </c>
      <c r="B248" s="3" t="s">
        <v>22</v>
      </c>
      <c r="C248" s="3" t="s">
        <v>23</v>
      </c>
      <c r="D248" s="3" t="s">
        <v>25</v>
      </c>
      <c r="E248" s="5">
        <v>46240.66805555556</v>
      </c>
      <c r="F248" s="3" t="s">
        <v>48</v>
      </c>
      <c r="G248" s="3" t="s">
        <v>1291</v>
      </c>
      <c r="H248" s="3" t="s">
        <v>1292</v>
      </c>
      <c r="I248" s="9" t="s">
        <v>1293</v>
      </c>
      <c r="J248" s="10">
        <v>3112025.0</v>
      </c>
      <c r="K248" s="10">
        <v>1.0012025E7</v>
      </c>
      <c r="L248" s="3" t="s">
        <v>35</v>
      </c>
      <c r="M248" s="3" t="s">
        <v>36</v>
      </c>
      <c r="N248" s="11">
        <v>865.0</v>
      </c>
      <c r="O248" s="3" t="s">
        <v>37</v>
      </c>
    </row>
    <row r="249">
      <c r="A249" s="3" t="s">
        <v>1294</v>
      </c>
      <c r="B249" s="3" t="s">
        <v>22</v>
      </c>
      <c r="C249" s="3" t="s">
        <v>23</v>
      </c>
      <c r="D249" s="3" t="s">
        <v>25</v>
      </c>
      <c r="E249" s="5">
        <v>46240.66805555556</v>
      </c>
      <c r="F249" s="3" t="s">
        <v>48</v>
      </c>
      <c r="G249" s="3" t="s">
        <v>1295</v>
      </c>
      <c r="H249" s="3" t="s">
        <v>1297</v>
      </c>
      <c r="I249" s="9" t="s">
        <v>1298</v>
      </c>
      <c r="J249" s="10">
        <v>2.7102025E7</v>
      </c>
      <c r="K249" s="10">
        <v>1.3012025E7</v>
      </c>
      <c r="L249" s="3" t="s">
        <v>35</v>
      </c>
      <c r="M249" s="3" t="s">
        <v>36</v>
      </c>
      <c r="N249" s="11">
        <v>865.0</v>
      </c>
      <c r="O249" s="3" t="s">
        <v>37</v>
      </c>
    </row>
    <row r="250">
      <c r="A250" s="3" t="s">
        <v>1300</v>
      </c>
      <c r="B250" s="3" t="s">
        <v>22</v>
      </c>
      <c r="C250" s="3" t="s">
        <v>23</v>
      </c>
      <c r="D250" s="3" t="s">
        <v>25</v>
      </c>
      <c r="E250" s="5">
        <v>46240.66805555556</v>
      </c>
      <c r="F250" s="3" t="s">
        <v>48</v>
      </c>
      <c r="G250" s="3" t="s">
        <v>1304</v>
      </c>
      <c r="H250" s="3" t="s">
        <v>1305</v>
      </c>
      <c r="I250" s="9" t="s">
        <v>1306</v>
      </c>
      <c r="J250" s="10">
        <v>2.7102025E7</v>
      </c>
      <c r="K250" s="10">
        <v>1.3012025E7</v>
      </c>
      <c r="L250" s="3" t="s">
        <v>35</v>
      </c>
      <c r="M250" s="3" t="s">
        <v>36</v>
      </c>
      <c r="N250" s="11">
        <v>865.0</v>
      </c>
      <c r="O250" s="3" t="s">
        <v>37</v>
      </c>
    </row>
    <row r="251">
      <c r="A251" s="3" t="s">
        <v>1307</v>
      </c>
      <c r="B251" s="3" t="s">
        <v>22</v>
      </c>
      <c r="C251" s="3" t="s">
        <v>23</v>
      </c>
      <c r="D251" s="3" t="s">
        <v>25</v>
      </c>
      <c r="E251" s="5">
        <v>46240.66805555556</v>
      </c>
      <c r="F251" s="3" t="s">
        <v>48</v>
      </c>
      <c r="G251" s="3" t="s">
        <v>1308</v>
      </c>
      <c r="H251" s="3" t="s">
        <v>1309</v>
      </c>
      <c r="I251" s="9" t="s">
        <v>1310</v>
      </c>
      <c r="J251" s="10">
        <v>3022026.0</v>
      </c>
      <c r="K251" s="10">
        <v>1.3012025E7</v>
      </c>
      <c r="L251" s="3" t="s">
        <v>35</v>
      </c>
      <c r="M251" s="3" t="s">
        <v>36</v>
      </c>
      <c r="N251" s="11">
        <v>865.0</v>
      </c>
      <c r="O251" s="3" t="s">
        <v>37</v>
      </c>
    </row>
    <row r="252">
      <c r="A252" s="3" t="s">
        <v>1312</v>
      </c>
      <c r="B252" s="3" t="s">
        <v>22</v>
      </c>
      <c r="C252" s="3" t="s">
        <v>23</v>
      </c>
      <c r="D252" s="3" t="s">
        <v>25</v>
      </c>
      <c r="E252" s="5">
        <v>46240.66805555556</v>
      </c>
      <c r="F252" s="3" t="s">
        <v>48</v>
      </c>
      <c r="G252" s="3" t="s">
        <v>1314</v>
      </c>
      <c r="H252" s="3" t="s">
        <v>1315</v>
      </c>
      <c r="I252" s="9" t="s">
        <v>1316</v>
      </c>
      <c r="J252" s="10">
        <v>1.8112025E7</v>
      </c>
      <c r="K252" s="10">
        <v>1.3012025E7</v>
      </c>
      <c r="L252" s="3" t="s">
        <v>35</v>
      </c>
      <c r="M252" s="3" t="s">
        <v>36</v>
      </c>
      <c r="N252" s="11">
        <v>865.0</v>
      </c>
      <c r="O252" s="3" t="s">
        <v>37</v>
      </c>
    </row>
    <row r="253">
      <c r="A253" s="3" t="s">
        <v>1320</v>
      </c>
      <c r="B253" s="3" t="s">
        <v>22</v>
      </c>
      <c r="C253" s="3" t="s">
        <v>23</v>
      </c>
      <c r="D253" s="3" t="s">
        <v>25</v>
      </c>
      <c r="E253" s="5">
        <v>46240.66805555556</v>
      </c>
      <c r="F253" s="3" t="s">
        <v>48</v>
      </c>
      <c r="G253" s="3" t="s">
        <v>1321</v>
      </c>
      <c r="H253" s="3" t="s">
        <v>1322</v>
      </c>
      <c r="I253" s="9" t="s">
        <v>1324</v>
      </c>
      <c r="J253" s="10">
        <v>1.3022026E7</v>
      </c>
      <c r="K253" s="10">
        <v>1.3012025E7</v>
      </c>
      <c r="L253" s="3" t="s">
        <v>35</v>
      </c>
      <c r="M253" s="3" t="s">
        <v>36</v>
      </c>
      <c r="N253" s="11">
        <v>865.0</v>
      </c>
      <c r="O253" s="3" t="s">
        <v>37</v>
      </c>
    </row>
    <row r="254">
      <c r="A254" s="3" t="s">
        <v>1328</v>
      </c>
      <c r="B254" s="3" t="s">
        <v>22</v>
      </c>
      <c r="C254" s="3" t="s">
        <v>23</v>
      </c>
      <c r="D254" s="3" t="s">
        <v>25</v>
      </c>
      <c r="E254" s="5">
        <v>46240.66805555556</v>
      </c>
      <c r="F254" s="3" t="s">
        <v>48</v>
      </c>
      <c r="G254" s="3" t="s">
        <v>1329</v>
      </c>
      <c r="H254" s="3" t="s">
        <v>1330</v>
      </c>
      <c r="I254" s="9" t="s">
        <v>1331</v>
      </c>
      <c r="J254" s="10">
        <v>1.8112025E7</v>
      </c>
      <c r="K254" s="10">
        <v>1.3012025E7</v>
      </c>
      <c r="L254" s="3" t="s">
        <v>35</v>
      </c>
      <c r="M254" s="3" t="s">
        <v>36</v>
      </c>
      <c r="N254" s="11">
        <v>865.0</v>
      </c>
      <c r="O254" s="3" t="s">
        <v>37</v>
      </c>
    </row>
    <row r="255">
      <c r="A255" s="3" t="s">
        <v>1313</v>
      </c>
      <c r="B255" s="3" t="s">
        <v>22</v>
      </c>
      <c r="C255" s="3" t="s">
        <v>23</v>
      </c>
      <c r="D255" s="3" t="s">
        <v>25</v>
      </c>
      <c r="E255" s="5">
        <v>46240.66805555556</v>
      </c>
      <c r="F255" s="3" t="s">
        <v>48</v>
      </c>
      <c r="G255" s="3" t="s">
        <v>1318</v>
      </c>
      <c r="H255" s="3" t="s">
        <v>1317</v>
      </c>
      <c r="I255" s="9" t="s">
        <v>1333</v>
      </c>
      <c r="J255" s="10">
        <v>1.7112025E7</v>
      </c>
      <c r="K255" s="10">
        <v>1.3012025E7</v>
      </c>
      <c r="L255" s="3" t="s">
        <v>35</v>
      </c>
      <c r="M255" s="3" t="s">
        <v>36</v>
      </c>
      <c r="N255" s="11">
        <v>865.0</v>
      </c>
      <c r="O255" s="3" t="s">
        <v>37</v>
      </c>
    </row>
    <row r="256">
      <c r="A256" s="3" t="s">
        <v>1334</v>
      </c>
      <c r="B256" s="3" t="s">
        <v>22</v>
      </c>
      <c r="C256" s="3" t="s">
        <v>23</v>
      </c>
      <c r="D256" s="3" t="s">
        <v>25</v>
      </c>
      <c r="E256" s="5">
        <v>46240.66805555556</v>
      </c>
      <c r="F256" s="3" t="s">
        <v>48</v>
      </c>
      <c r="G256" s="3" t="s">
        <v>1336</v>
      </c>
      <c r="H256" s="3" t="s">
        <v>1335</v>
      </c>
      <c r="I256" s="9" t="s">
        <v>1338</v>
      </c>
      <c r="J256" s="10">
        <v>1.7112025E7</v>
      </c>
      <c r="K256" s="10">
        <v>1.3012025E7</v>
      </c>
      <c r="L256" s="3" t="s">
        <v>35</v>
      </c>
      <c r="M256" s="3" t="s">
        <v>36</v>
      </c>
      <c r="N256" s="11">
        <v>865.0</v>
      </c>
      <c r="O256" s="3" t="s">
        <v>37</v>
      </c>
    </row>
    <row r="257">
      <c r="A257" s="3" t="s">
        <v>1343</v>
      </c>
      <c r="B257" s="3" t="s">
        <v>22</v>
      </c>
      <c r="C257" s="3" t="s">
        <v>23</v>
      </c>
      <c r="D257" s="3" t="s">
        <v>25</v>
      </c>
      <c r="E257" s="5">
        <v>46240.66805555556</v>
      </c>
      <c r="F257" s="3" t="s">
        <v>48</v>
      </c>
      <c r="G257" s="3" t="s">
        <v>1344</v>
      </c>
      <c r="H257" s="3" t="s">
        <v>1345</v>
      </c>
      <c r="I257" s="9" t="s">
        <v>1346</v>
      </c>
      <c r="J257" s="10">
        <v>1.0112025E7</v>
      </c>
      <c r="K257" s="10">
        <v>1.3012025E7</v>
      </c>
      <c r="L257" s="3" t="s">
        <v>35</v>
      </c>
      <c r="M257" s="3" t="s">
        <v>36</v>
      </c>
      <c r="N257" s="11">
        <v>865.0</v>
      </c>
      <c r="O257" s="3" t="s">
        <v>37</v>
      </c>
    </row>
    <row r="258">
      <c r="A258" s="3" t="s">
        <v>1348</v>
      </c>
      <c r="B258" s="3" t="s">
        <v>22</v>
      </c>
      <c r="C258" s="3" t="s">
        <v>23</v>
      </c>
      <c r="D258" s="3" t="s">
        <v>25</v>
      </c>
      <c r="E258" s="5">
        <v>46240.66805555556</v>
      </c>
      <c r="F258" s="3" t="s">
        <v>48</v>
      </c>
      <c r="G258" s="3" t="s">
        <v>1349</v>
      </c>
      <c r="H258" s="3" t="s">
        <v>1350</v>
      </c>
      <c r="I258" s="9" t="s">
        <v>1351</v>
      </c>
      <c r="J258" s="10">
        <v>1.8112025E7</v>
      </c>
      <c r="K258" s="10">
        <v>1.3012025E7</v>
      </c>
      <c r="L258" s="3" t="s">
        <v>35</v>
      </c>
      <c r="M258" s="3" t="s">
        <v>36</v>
      </c>
      <c r="N258" s="11">
        <v>865.0</v>
      </c>
      <c r="O258" s="3" t="s">
        <v>37</v>
      </c>
    </row>
    <row r="259">
      <c r="A259" s="3" t="s">
        <v>1339</v>
      </c>
      <c r="B259" s="3" t="s">
        <v>22</v>
      </c>
      <c r="C259" s="3" t="s">
        <v>23</v>
      </c>
      <c r="D259" s="3" t="s">
        <v>25</v>
      </c>
      <c r="E259" s="5">
        <v>46240.66805555556</v>
      </c>
      <c r="F259" s="3" t="s">
        <v>48</v>
      </c>
      <c r="G259" s="3" t="s">
        <v>1341</v>
      </c>
      <c r="H259" s="3" t="s">
        <v>1340</v>
      </c>
      <c r="I259" s="9" t="s">
        <v>1356</v>
      </c>
      <c r="J259" s="10">
        <v>6022026.0</v>
      </c>
      <c r="K259" s="10">
        <v>1.3012025E7</v>
      </c>
      <c r="L259" s="3" t="s">
        <v>35</v>
      </c>
      <c r="M259" s="3" t="s">
        <v>36</v>
      </c>
      <c r="N259" s="11">
        <v>865.0</v>
      </c>
      <c r="O259" s="3" t="s">
        <v>37</v>
      </c>
    </row>
    <row r="260">
      <c r="A260" s="3" t="s">
        <v>1358</v>
      </c>
      <c r="B260" s="3" t="s">
        <v>22</v>
      </c>
      <c r="C260" s="3" t="s">
        <v>23</v>
      </c>
      <c r="D260" s="3" t="s">
        <v>25</v>
      </c>
      <c r="E260" s="5">
        <v>46240.66805555556</v>
      </c>
      <c r="F260" s="3" t="s">
        <v>48</v>
      </c>
      <c r="G260" s="3" t="s">
        <v>1359</v>
      </c>
      <c r="H260" s="3" t="s">
        <v>1360</v>
      </c>
      <c r="I260" s="9" t="s">
        <v>1361</v>
      </c>
      <c r="J260" s="10">
        <v>1.0112025E7</v>
      </c>
      <c r="K260" s="10">
        <v>1.3012025E7</v>
      </c>
      <c r="L260" s="3" t="s">
        <v>35</v>
      </c>
      <c r="M260" s="3" t="s">
        <v>36</v>
      </c>
      <c r="N260" s="11">
        <v>865.0</v>
      </c>
      <c r="O260" s="3" t="s">
        <v>37</v>
      </c>
    </row>
    <row r="261">
      <c r="A261" s="3" t="s">
        <v>1363</v>
      </c>
      <c r="B261" s="3" t="s">
        <v>22</v>
      </c>
      <c r="C261" s="3" t="s">
        <v>23</v>
      </c>
      <c r="D261" s="3" t="s">
        <v>25</v>
      </c>
      <c r="E261" s="5">
        <v>46240.66805555556</v>
      </c>
      <c r="F261" s="3" t="s">
        <v>48</v>
      </c>
      <c r="G261" s="3" t="s">
        <v>1364</v>
      </c>
      <c r="H261" s="3" t="s">
        <v>1365</v>
      </c>
      <c r="I261" s="9" t="s">
        <v>1366</v>
      </c>
      <c r="J261" s="10">
        <v>2.7102025E7</v>
      </c>
      <c r="K261" s="10">
        <v>1.3012025E7</v>
      </c>
      <c r="L261" s="3" t="s">
        <v>35</v>
      </c>
      <c r="M261" s="3" t="s">
        <v>36</v>
      </c>
      <c r="N261" s="11">
        <v>865.0</v>
      </c>
      <c r="O261" s="3" t="s">
        <v>37</v>
      </c>
    </row>
    <row r="262">
      <c r="A262" s="3" t="s">
        <v>1352</v>
      </c>
      <c r="B262" s="3" t="s">
        <v>22</v>
      </c>
      <c r="C262" s="3" t="s">
        <v>23</v>
      </c>
      <c r="D262" s="3" t="s">
        <v>25</v>
      </c>
      <c r="E262" s="5">
        <v>46240.66805555556</v>
      </c>
      <c r="F262" s="3" t="s">
        <v>48</v>
      </c>
      <c r="G262" s="3" t="s">
        <v>1354</v>
      </c>
      <c r="H262" s="3" t="s">
        <v>1353</v>
      </c>
      <c r="I262" s="9" t="s">
        <v>1368</v>
      </c>
      <c r="J262" s="10">
        <v>1.8112025E7</v>
      </c>
      <c r="K262" s="10">
        <v>1.3012025E7</v>
      </c>
      <c r="L262" s="3" t="s">
        <v>35</v>
      </c>
      <c r="M262" s="3" t="s">
        <v>36</v>
      </c>
      <c r="N262" s="11">
        <v>865.0</v>
      </c>
      <c r="O262" s="3" t="s">
        <v>37</v>
      </c>
    </row>
    <row r="263">
      <c r="A263" s="3" t="s">
        <v>1323</v>
      </c>
      <c r="B263" s="3" t="s">
        <v>22</v>
      </c>
      <c r="C263" s="3" t="s">
        <v>23</v>
      </c>
      <c r="D263" s="3" t="s">
        <v>25</v>
      </c>
      <c r="E263" s="5">
        <v>46240.66805555556</v>
      </c>
      <c r="F263" s="3" t="s">
        <v>48</v>
      </c>
      <c r="G263" s="3" t="s">
        <v>1326</v>
      </c>
      <c r="H263" s="3" t="s">
        <v>1325</v>
      </c>
      <c r="I263" s="9" t="s">
        <v>1370</v>
      </c>
      <c r="J263" s="10">
        <v>1.0112025E7</v>
      </c>
      <c r="K263" s="10">
        <v>1.3012025E7</v>
      </c>
      <c r="L263" s="3" t="s">
        <v>35</v>
      </c>
      <c r="M263" s="3" t="s">
        <v>36</v>
      </c>
      <c r="N263" s="11">
        <v>865.0</v>
      </c>
      <c r="O263" s="3" t="s">
        <v>37</v>
      </c>
    </row>
    <row r="264">
      <c r="A264" s="3" t="s">
        <v>1185</v>
      </c>
      <c r="B264" s="3" t="s">
        <v>22</v>
      </c>
      <c r="C264" s="3" t="s">
        <v>23</v>
      </c>
      <c r="D264" s="3" t="s">
        <v>25</v>
      </c>
      <c r="E264" s="5">
        <v>46240.66805555556</v>
      </c>
      <c r="F264" s="3" t="s">
        <v>869</v>
      </c>
      <c r="G264" s="3" t="s">
        <v>1191</v>
      </c>
      <c r="H264" s="3" t="s">
        <v>1186</v>
      </c>
      <c r="I264" s="9" t="s">
        <v>1375</v>
      </c>
      <c r="J264" s="10">
        <v>2.7102025E7</v>
      </c>
      <c r="K264" s="10">
        <v>1.7032025E7</v>
      </c>
      <c r="L264" s="3" t="s">
        <v>35</v>
      </c>
      <c r="M264" s="3" t="s">
        <v>36</v>
      </c>
      <c r="N264" s="11">
        <v>865.0</v>
      </c>
      <c r="O264" s="3" t="s">
        <v>37</v>
      </c>
    </row>
    <row r="265">
      <c r="A265" s="3" t="s">
        <v>1221</v>
      </c>
      <c r="B265" s="3" t="s">
        <v>22</v>
      </c>
      <c r="C265" s="3" t="s">
        <v>23</v>
      </c>
      <c r="D265" s="3" t="s">
        <v>25</v>
      </c>
      <c r="E265" s="5">
        <v>46240.66875</v>
      </c>
      <c r="F265" s="3" t="s">
        <v>869</v>
      </c>
      <c r="G265" s="3" t="s">
        <v>1223</v>
      </c>
      <c r="H265" s="3" t="s">
        <v>1222</v>
      </c>
      <c r="I265" s="9" t="s">
        <v>1380</v>
      </c>
      <c r="J265" s="10">
        <v>1.8112025E7</v>
      </c>
      <c r="K265" s="10">
        <v>7052025.0</v>
      </c>
      <c r="L265" s="3" t="s">
        <v>35</v>
      </c>
      <c r="M265" s="3" t="s">
        <v>36</v>
      </c>
      <c r="N265" s="11">
        <v>865.0</v>
      </c>
      <c r="O265" s="3" t="s">
        <v>37</v>
      </c>
    </row>
    <row r="266">
      <c r="A266" s="3" t="s">
        <v>1197</v>
      </c>
      <c r="B266" s="3" t="s">
        <v>22</v>
      </c>
      <c r="C266" s="3" t="s">
        <v>23</v>
      </c>
      <c r="D266" s="3" t="s">
        <v>25</v>
      </c>
      <c r="E266" s="5">
        <v>46240.66875</v>
      </c>
      <c r="F266" s="3" t="s">
        <v>869</v>
      </c>
      <c r="G266" s="3" t="s">
        <v>1199</v>
      </c>
      <c r="H266" s="3" t="s">
        <v>1198</v>
      </c>
      <c r="I266" s="9" t="s">
        <v>1385</v>
      </c>
      <c r="J266" s="10">
        <v>1.8112025E7</v>
      </c>
      <c r="K266" s="10">
        <v>1.9052025E7</v>
      </c>
      <c r="L266" s="3" t="s">
        <v>35</v>
      </c>
      <c r="M266" s="3" t="s">
        <v>36</v>
      </c>
      <c r="N266" s="11">
        <v>865.0</v>
      </c>
      <c r="O266" s="3" t="s">
        <v>37</v>
      </c>
    </row>
    <row r="267">
      <c r="A267" s="22" t="s">
        <v>169</v>
      </c>
      <c r="B267" s="3" t="s">
        <v>22</v>
      </c>
      <c r="C267" s="3" t="s">
        <v>23</v>
      </c>
      <c r="D267" s="3" t="s">
        <v>25</v>
      </c>
      <c r="E267" s="5">
        <v>46142.75763888889</v>
      </c>
      <c r="F267" s="3" t="s">
        <v>869</v>
      </c>
      <c r="G267" s="3" t="s">
        <v>1390</v>
      </c>
      <c r="H267" s="3" t="s">
        <v>171</v>
      </c>
      <c r="I267" s="9" t="s">
        <v>1391</v>
      </c>
      <c r="J267" s="10">
        <v>2022026.0</v>
      </c>
      <c r="K267" s="10">
        <v>1.5082025E7</v>
      </c>
      <c r="L267" s="3" t="s">
        <v>35</v>
      </c>
      <c r="M267" s="3" t="s">
        <v>36</v>
      </c>
      <c r="N267" s="11">
        <v>865.0</v>
      </c>
      <c r="O267" s="3" t="s">
        <v>37</v>
      </c>
    </row>
    <row r="268">
      <c r="A268" s="3" t="s">
        <v>1396</v>
      </c>
      <c r="B268" s="3" t="s">
        <v>22</v>
      </c>
      <c r="C268" s="3" t="s">
        <v>23</v>
      </c>
      <c r="D268" s="3" t="s">
        <v>25</v>
      </c>
      <c r="E268" s="5">
        <v>46240.66875</v>
      </c>
      <c r="F268" s="3" t="s">
        <v>869</v>
      </c>
      <c r="G268" s="3" t="s">
        <v>1397</v>
      </c>
      <c r="H268" s="3" t="s">
        <v>1398</v>
      </c>
      <c r="I268" s="9" t="s">
        <v>1399</v>
      </c>
      <c r="J268" s="10">
        <v>3112025.0</v>
      </c>
      <c r="K268" s="10">
        <v>2102025.0</v>
      </c>
      <c r="L268" s="3" t="s">
        <v>35</v>
      </c>
      <c r="M268" s="3" t="s">
        <v>36</v>
      </c>
      <c r="N268" s="11">
        <v>865.0</v>
      </c>
      <c r="O268" s="3" t="s">
        <v>37</v>
      </c>
    </row>
    <row r="269">
      <c r="A269" s="3" t="s">
        <v>1403</v>
      </c>
      <c r="B269" s="3" t="s">
        <v>22</v>
      </c>
      <c r="C269" s="3" t="s">
        <v>23</v>
      </c>
      <c r="D269" s="3" t="s">
        <v>25</v>
      </c>
      <c r="E269" s="5">
        <v>46240.66875</v>
      </c>
      <c r="F269" s="3" t="s">
        <v>869</v>
      </c>
      <c r="G269" s="3" t="s">
        <v>1405</v>
      </c>
      <c r="H269" s="3" t="s">
        <v>1406</v>
      </c>
      <c r="I269" s="9" t="s">
        <v>1407</v>
      </c>
      <c r="J269" s="10">
        <v>2.7102025E7</v>
      </c>
      <c r="K269" s="10">
        <v>2102025.0</v>
      </c>
      <c r="L269" s="3" t="s">
        <v>35</v>
      </c>
      <c r="M269" s="3" t="s">
        <v>36</v>
      </c>
      <c r="N269" s="11">
        <v>865.0</v>
      </c>
      <c r="O269" s="3" t="s">
        <v>37</v>
      </c>
    </row>
    <row r="270">
      <c r="A270" s="3" t="s">
        <v>1371</v>
      </c>
      <c r="B270" s="3" t="s">
        <v>22</v>
      </c>
      <c r="C270" s="3" t="s">
        <v>23</v>
      </c>
      <c r="D270" s="3" t="s">
        <v>25</v>
      </c>
      <c r="E270" s="5">
        <v>46240.66875</v>
      </c>
      <c r="F270" s="3" t="s">
        <v>869</v>
      </c>
      <c r="G270" s="3" t="s">
        <v>1373</v>
      </c>
      <c r="H270" s="3" t="s">
        <v>1372</v>
      </c>
      <c r="I270" s="9" t="s">
        <v>1413</v>
      </c>
      <c r="J270" s="10">
        <v>2.9042026E7</v>
      </c>
      <c r="K270" s="10">
        <v>1.0102025E7</v>
      </c>
      <c r="L270" s="3" t="s">
        <v>35</v>
      </c>
      <c r="M270" s="3" t="s">
        <v>36</v>
      </c>
      <c r="N270" s="11">
        <v>865.0</v>
      </c>
      <c r="O270" s="3" t="s">
        <v>37</v>
      </c>
    </row>
    <row r="271">
      <c r="A271" s="3" t="s">
        <v>1418</v>
      </c>
      <c r="B271" s="3" t="s">
        <v>22</v>
      </c>
      <c r="C271" s="3" t="s">
        <v>23</v>
      </c>
      <c r="D271" s="3" t="s">
        <v>25</v>
      </c>
      <c r="E271" s="5">
        <v>46240.66875</v>
      </c>
      <c r="F271" s="3" t="s">
        <v>869</v>
      </c>
      <c r="G271" s="3" t="s">
        <v>1419</v>
      </c>
      <c r="H271" s="3" t="s">
        <v>1420</v>
      </c>
      <c r="I271" s="9" t="s">
        <v>1421</v>
      </c>
      <c r="J271" s="10">
        <v>6082026.0</v>
      </c>
      <c r="K271" s="10">
        <v>1.0102025E7</v>
      </c>
      <c r="L271" s="3" t="s">
        <v>35</v>
      </c>
      <c r="M271" s="3" t="s">
        <v>36</v>
      </c>
      <c r="N271" s="11">
        <v>865.0</v>
      </c>
      <c r="O271" s="3" t="s">
        <v>37</v>
      </c>
    </row>
    <row r="272">
      <c r="A272" s="3" t="s">
        <v>1414</v>
      </c>
      <c r="B272" s="3" t="s">
        <v>22</v>
      </c>
      <c r="C272" s="3" t="s">
        <v>23</v>
      </c>
      <c r="D272" s="3" t="s">
        <v>25</v>
      </c>
      <c r="E272" s="5">
        <v>46240.66875</v>
      </c>
      <c r="F272" s="3" t="s">
        <v>869</v>
      </c>
      <c r="G272" s="3" t="s">
        <v>1416</v>
      </c>
      <c r="H272" s="3" t="s">
        <v>1415</v>
      </c>
      <c r="I272" s="9" t="s">
        <v>1423</v>
      </c>
      <c r="J272" s="10">
        <v>1.1122025E7</v>
      </c>
      <c r="K272" s="10">
        <v>1.0102025E7</v>
      </c>
      <c r="L272" s="3" t="s">
        <v>35</v>
      </c>
      <c r="M272" s="3" t="s">
        <v>36</v>
      </c>
      <c r="N272" s="11">
        <v>865.0</v>
      </c>
      <c r="O272" s="3" t="s">
        <v>37</v>
      </c>
    </row>
    <row r="273">
      <c r="A273" s="3" t="s">
        <v>1259</v>
      </c>
      <c r="B273" s="3" t="s">
        <v>22</v>
      </c>
      <c r="C273" s="3" t="s">
        <v>23</v>
      </c>
      <c r="D273" s="3" t="s">
        <v>25</v>
      </c>
      <c r="E273" s="5">
        <v>46240.66875</v>
      </c>
      <c r="F273" s="3" t="s">
        <v>869</v>
      </c>
      <c r="G273" s="3" t="s">
        <v>1261</v>
      </c>
      <c r="H273" s="3" t="s">
        <v>1260</v>
      </c>
      <c r="I273" s="9" t="s">
        <v>1425</v>
      </c>
      <c r="J273" s="10">
        <v>8052026.0</v>
      </c>
      <c r="K273" s="10">
        <v>1.0102025E7</v>
      </c>
      <c r="L273" s="3" t="s">
        <v>35</v>
      </c>
      <c r="M273" s="3" t="s">
        <v>36</v>
      </c>
      <c r="N273" s="11">
        <v>865.0</v>
      </c>
      <c r="O273" s="3" t="s">
        <v>37</v>
      </c>
    </row>
    <row r="274">
      <c r="A274" s="3" t="s">
        <v>1381</v>
      </c>
      <c r="B274" s="3" t="s">
        <v>22</v>
      </c>
      <c r="C274" s="3" t="s">
        <v>23</v>
      </c>
      <c r="D274" s="3" t="s">
        <v>25</v>
      </c>
      <c r="E274" s="5">
        <v>46240.66875</v>
      </c>
      <c r="F274" s="3" t="s">
        <v>1427</v>
      </c>
      <c r="G274" s="3" t="s">
        <v>1383</v>
      </c>
      <c r="H274" s="3" t="s">
        <v>1382</v>
      </c>
      <c r="I274" s="9" t="s">
        <v>1428</v>
      </c>
      <c r="J274" s="10">
        <v>2.0032026E7</v>
      </c>
      <c r="K274" s="10">
        <v>1.0102025E7</v>
      </c>
      <c r="L274" s="3" t="s">
        <v>35</v>
      </c>
      <c r="M274" s="3" t="s">
        <v>36</v>
      </c>
      <c r="N274" s="11">
        <v>865.0</v>
      </c>
      <c r="O274" s="3" t="s">
        <v>37</v>
      </c>
    </row>
    <row r="275">
      <c r="A275" s="3" t="s">
        <v>1430</v>
      </c>
      <c r="B275" s="3" t="s">
        <v>22</v>
      </c>
      <c r="C275" s="3" t="s">
        <v>23</v>
      </c>
      <c r="D275" s="3" t="s">
        <v>25</v>
      </c>
      <c r="E275" s="5">
        <v>46240.66875</v>
      </c>
      <c r="F275" s="3" t="s">
        <v>869</v>
      </c>
      <c r="G275" s="3" t="s">
        <v>1431</v>
      </c>
      <c r="H275" s="3" t="s">
        <v>1432</v>
      </c>
      <c r="I275" s="9" t="s">
        <v>1433</v>
      </c>
      <c r="J275" s="10">
        <v>6082026.0</v>
      </c>
      <c r="K275" s="10">
        <v>1.0102025E7</v>
      </c>
      <c r="L275" s="3" t="s">
        <v>35</v>
      </c>
      <c r="M275" s="3" t="s">
        <v>36</v>
      </c>
      <c r="N275" s="11">
        <v>865.0</v>
      </c>
      <c r="O275" s="3" t="s">
        <v>37</v>
      </c>
    </row>
    <row r="276">
      <c r="A276" s="3" t="s">
        <v>1435</v>
      </c>
      <c r="B276" s="3" t="s">
        <v>22</v>
      </c>
      <c r="C276" s="3" t="s">
        <v>23</v>
      </c>
      <c r="D276" s="3" t="s">
        <v>25</v>
      </c>
      <c r="E276" s="5">
        <v>46240.66875</v>
      </c>
      <c r="F276" s="3" t="s">
        <v>869</v>
      </c>
      <c r="G276" s="3" t="s">
        <v>1436</v>
      </c>
      <c r="H276" s="3" t="s">
        <v>1437</v>
      </c>
      <c r="I276" s="9" t="s">
        <v>1438</v>
      </c>
      <c r="J276" s="10">
        <v>9012026.0</v>
      </c>
      <c r="K276" s="10">
        <v>1.0102025E7</v>
      </c>
      <c r="L276" s="3" t="s">
        <v>35</v>
      </c>
      <c r="M276" s="3" t="s">
        <v>36</v>
      </c>
      <c r="N276" s="11">
        <v>865.0</v>
      </c>
      <c r="O276" s="3" t="s">
        <v>37</v>
      </c>
    </row>
    <row r="277">
      <c r="A277" s="3" t="s">
        <v>1376</v>
      </c>
      <c r="B277" s="3" t="s">
        <v>22</v>
      </c>
      <c r="C277" s="3" t="s">
        <v>23</v>
      </c>
      <c r="D277" s="3" t="s">
        <v>25</v>
      </c>
      <c r="E277" s="5">
        <v>46240.66875</v>
      </c>
      <c r="F277" s="3" t="s">
        <v>1427</v>
      </c>
      <c r="G277" s="3" t="s">
        <v>1378</v>
      </c>
      <c r="H277" s="3" t="s">
        <v>1377</v>
      </c>
      <c r="I277" s="9" t="s">
        <v>1440</v>
      </c>
      <c r="J277" s="10">
        <v>7042026.0</v>
      </c>
      <c r="K277" s="10">
        <v>1.0102025E7</v>
      </c>
      <c r="L277" s="3" t="s">
        <v>35</v>
      </c>
      <c r="M277" s="3" t="s">
        <v>36</v>
      </c>
      <c r="N277" s="11">
        <v>865.0</v>
      </c>
      <c r="O277" s="3" t="s">
        <v>37</v>
      </c>
    </row>
    <row r="278">
      <c r="A278" s="3" t="s">
        <v>1213</v>
      </c>
      <c r="B278" s="3" t="s">
        <v>22</v>
      </c>
      <c r="C278" s="3" t="s">
        <v>23</v>
      </c>
      <c r="D278" s="3" t="s">
        <v>25</v>
      </c>
      <c r="E278" s="5">
        <v>46240.66875</v>
      </c>
      <c r="F278" s="3" t="s">
        <v>869</v>
      </c>
      <c r="G278" s="3" t="s">
        <v>1215</v>
      </c>
      <c r="H278" s="3" t="s">
        <v>1214</v>
      </c>
      <c r="I278" s="9" t="s">
        <v>1442</v>
      </c>
      <c r="J278" s="10">
        <v>9012026.0</v>
      </c>
      <c r="K278" s="10">
        <v>1.0102025E7</v>
      </c>
      <c r="L278" s="3" t="s">
        <v>35</v>
      </c>
      <c r="M278" s="3" t="s">
        <v>36</v>
      </c>
      <c r="N278" s="11">
        <v>865.0</v>
      </c>
      <c r="O278" s="3" t="s">
        <v>37</v>
      </c>
    </row>
    <row r="279">
      <c r="A279" s="3" t="s">
        <v>1443</v>
      </c>
      <c r="B279" s="3" t="s">
        <v>22</v>
      </c>
      <c r="C279" s="3" t="s">
        <v>23</v>
      </c>
      <c r="D279" s="3" t="s">
        <v>25</v>
      </c>
      <c r="E279" s="5">
        <v>46240.66875</v>
      </c>
      <c r="F279" s="3" t="s">
        <v>869</v>
      </c>
      <c r="G279" s="3" t="s">
        <v>1445</v>
      </c>
      <c r="H279" s="3" t="s">
        <v>1446</v>
      </c>
      <c r="I279" s="9" t="s">
        <v>1447</v>
      </c>
      <c r="J279" s="10">
        <v>9012026.0</v>
      </c>
      <c r="K279" s="10">
        <v>1.0102025E7</v>
      </c>
      <c r="L279" s="3" t="s">
        <v>35</v>
      </c>
      <c r="M279" s="3" t="s">
        <v>36</v>
      </c>
      <c r="N279" s="11">
        <v>865.0</v>
      </c>
      <c r="O279" s="3" t="s">
        <v>37</v>
      </c>
    </row>
    <row r="280">
      <c r="A280" s="3" t="s">
        <v>1409</v>
      </c>
      <c r="B280" s="3" t="s">
        <v>22</v>
      </c>
      <c r="C280" s="3" t="s">
        <v>23</v>
      </c>
      <c r="D280" s="3" t="s">
        <v>25</v>
      </c>
      <c r="E280" s="5">
        <v>46240.66875</v>
      </c>
      <c r="F280" s="3" t="s">
        <v>869</v>
      </c>
      <c r="G280" s="3" t="s">
        <v>1411</v>
      </c>
      <c r="H280" s="3" t="s">
        <v>1410</v>
      </c>
      <c r="I280" s="9" t="s">
        <v>1449</v>
      </c>
      <c r="J280" s="10">
        <v>1.2012026E7</v>
      </c>
      <c r="K280" s="10">
        <v>1.0102025E7</v>
      </c>
      <c r="L280" s="3" t="s">
        <v>35</v>
      </c>
      <c r="M280" s="3" t="s">
        <v>36</v>
      </c>
      <c r="N280" s="11">
        <v>865.0</v>
      </c>
      <c r="O280" s="3" t="s">
        <v>37</v>
      </c>
    </row>
    <row r="281">
      <c r="A281" s="3" t="s">
        <v>1299</v>
      </c>
      <c r="B281" s="3" t="s">
        <v>22</v>
      </c>
      <c r="C281" s="3" t="s">
        <v>23</v>
      </c>
      <c r="D281" s="3" t="s">
        <v>25</v>
      </c>
      <c r="E281" s="5">
        <v>46240.66875</v>
      </c>
      <c r="F281" s="3" t="s">
        <v>869</v>
      </c>
      <c r="G281" s="3" t="s">
        <v>1302</v>
      </c>
      <c r="H281" s="3" t="s">
        <v>1301</v>
      </c>
      <c r="I281" s="9" t="s">
        <v>1451</v>
      </c>
      <c r="J281" s="10">
        <v>2.8042026E7</v>
      </c>
      <c r="K281" s="10">
        <v>1.0102025E7</v>
      </c>
      <c r="L281" s="3" t="s">
        <v>35</v>
      </c>
      <c r="M281" s="3" t="s">
        <v>36</v>
      </c>
      <c r="N281" s="11">
        <v>865.0</v>
      </c>
      <c r="O281" s="3" t="s">
        <v>37</v>
      </c>
    </row>
    <row r="282">
      <c r="A282" s="3" t="s">
        <v>1386</v>
      </c>
      <c r="B282" s="3" t="s">
        <v>22</v>
      </c>
      <c r="C282" s="3" t="s">
        <v>23</v>
      </c>
      <c r="D282" s="3" t="s">
        <v>25</v>
      </c>
      <c r="E282" s="5">
        <v>46240.66875</v>
      </c>
      <c r="F282" s="3" t="s">
        <v>1427</v>
      </c>
      <c r="G282" s="3" t="s">
        <v>1388</v>
      </c>
      <c r="H282" s="3" t="s">
        <v>1387</v>
      </c>
      <c r="I282" s="9" t="s">
        <v>1452</v>
      </c>
      <c r="J282" s="10">
        <v>1.2022026E7</v>
      </c>
      <c r="K282" s="10">
        <v>1.0102025E7</v>
      </c>
      <c r="L282" s="3" t="s">
        <v>35</v>
      </c>
      <c r="M282" s="3" t="s">
        <v>36</v>
      </c>
      <c r="N282" s="11">
        <v>865.0</v>
      </c>
      <c r="O282" s="3" t="s">
        <v>37</v>
      </c>
    </row>
    <row r="283">
      <c r="A283" s="3" t="s">
        <v>1400</v>
      </c>
      <c r="B283" s="3" t="s">
        <v>22</v>
      </c>
      <c r="C283" s="3" t="s">
        <v>23</v>
      </c>
      <c r="D283" s="3" t="s">
        <v>25</v>
      </c>
      <c r="E283" s="5">
        <v>46240.66875</v>
      </c>
      <c r="F283" s="3" t="s">
        <v>869</v>
      </c>
      <c r="G283" s="3" t="s">
        <v>1402</v>
      </c>
      <c r="H283" s="3" t="s">
        <v>1401</v>
      </c>
      <c r="I283" s="9" t="s">
        <v>1454</v>
      </c>
      <c r="J283" s="10">
        <v>9012026.0</v>
      </c>
      <c r="K283" s="10">
        <v>1.2122025E7</v>
      </c>
      <c r="L283" s="3" t="s">
        <v>35</v>
      </c>
      <c r="M283" s="3" t="s">
        <v>36</v>
      </c>
      <c r="N283" s="11">
        <v>865.0</v>
      </c>
      <c r="O283" s="3" t="s">
        <v>37</v>
      </c>
    </row>
    <row r="284">
      <c r="A284" s="3" t="s">
        <v>1456</v>
      </c>
      <c r="B284" s="3" t="s">
        <v>22</v>
      </c>
      <c r="C284" s="3" t="s">
        <v>23</v>
      </c>
      <c r="D284" s="3" t="s">
        <v>25</v>
      </c>
      <c r="E284" s="5">
        <v>46240.66875</v>
      </c>
      <c r="F284" s="3" t="s">
        <v>869</v>
      </c>
      <c r="G284" s="3" t="s">
        <v>1457</v>
      </c>
      <c r="H284" s="3" t="s">
        <v>1458</v>
      </c>
      <c r="I284" s="9" t="s">
        <v>1459</v>
      </c>
      <c r="J284" s="10">
        <v>9012026.0</v>
      </c>
      <c r="K284" s="10">
        <v>1.9122025E7</v>
      </c>
      <c r="L284" s="3" t="s">
        <v>35</v>
      </c>
      <c r="M284" s="3" t="s">
        <v>36</v>
      </c>
      <c r="N284" s="11">
        <v>865.0</v>
      </c>
      <c r="O284" s="3" t="s">
        <v>37</v>
      </c>
    </row>
    <row r="285">
      <c r="A285" s="3" t="s">
        <v>1461</v>
      </c>
      <c r="B285" s="3" t="s">
        <v>22</v>
      </c>
      <c r="C285" s="3" t="s">
        <v>23</v>
      </c>
      <c r="D285" s="3" t="s">
        <v>25</v>
      </c>
      <c r="E285" s="5">
        <v>46240.66875</v>
      </c>
      <c r="F285" s="3" t="s">
        <v>869</v>
      </c>
      <c r="G285" s="3" t="s">
        <v>1462</v>
      </c>
      <c r="H285" s="3" t="s">
        <v>1463</v>
      </c>
      <c r="I285" s="9" t="s">
        <v>1464</v>
      </c>
      <c r="J285" s="10">
        <v>3022026.0</v>
      </c>
      <c r="K285" s="10">
        <v>3.0012026E7</v>
      </c>
      <c r="L285" s="3" t="s">
        <v>35</v>
      </c>
      <c r="M285" s="3" t="s">
        <v>36</v>
      </c>
      <c r="N285" s="11">
        <v>865.0</v>
      </c>
      <c r="O285" s="3" t="s">
        <v>37</v>
      </c>
    </row>
    <row r="286">
      <c r="A286" s="3" t="s">
        <v>1237</v>
      </c>
      <c r="B286" s="3" t="s">
        <v>22</v>
      </c>
      <c r="C286" s="3" t="s">
        <v>23</v>
      </c>
      <c r="D286" s="3" t="s">
        <v>25</v>
      </c>
      <c r="E286" s="5">
        <v>46240.66875</v>
      </c>
      <c r="F286" s="3" t="s">
        <v>869</v>
      </c>
      <c r="G286" s="3" t="s">
        <v>1239</v>
      </c>
      <c r="H286" s="3" t="s">
        <v>1238</v>
      </c>
      <c r="I286" s="9" t="s">
        <v>1466</v>
      </c>
      <c r="J286" s="10">
        <v>3022026.0</v>
      </c>
      <c r="K286" s="10">
        <v>3.0012026E7</v>
      </c>
      <c r="L286" s="3" t="s">
        <v>35</v>
      </c>
      <c r="M286" s="3" t="s">
        <v>36</v>
      </c>
      <c r="N286" s="11">
        <v>865.0</v>
      </c>
      <c r="O286" s="3" t="s">
        <v>37</v>
      </c>
    </row>
    <row r="287">
      <c r="A287" s="3" t="s">
        <v>1392</v>
      </c>
      <c r="B287" s="3" t="s">
        <v>22</v>
      </c>
      <c r="C287" s="3" t="s">
        <v>23</v>
      </c>
      <c r="D287" s="3" t="s">
        <v>25</v>
      </c>
      <c r="E287" s="5">
        <v>46240.66875</v>
      </c>
      <c r="F287" s="3" t="s">
        <v>1427</v>
      </c>
      <c r="G287" s="3" t="s">
        <v>1394</v>
      </c>
      <c r="H287" s="3" t="s">
        <v>1393</v>
      </c>
      <c r="I287" s="9" t="s">
        <v>1468</v>
      </c>
      <c r="J287" s="10">
        <v>1.2052026E7</v>
      </c>
      <c r="K287" s="10">
        <v>3.0012026E7</v>
      </c>
      <c r="L287" s="3" t="s">
        <v>35</v>
      </c>
      <c r="M287" s="3" t="s">
        <v>36</v>
      </c>
      <c r="N287" s="11">
        <v>865.0</v>
      </c>
      <c r="O287" s="3" t="s">
        <v>37</v>
      </c>
    </row>
    <row r="288">
      <c r="A288" s="3" t="s">
        <v>1229</v>
      </c>
      <c r="B288" s="3" t="s">
        <v>22</v>
      </c>
      <c r="C288" s="3" t="s">
        <v>23</v>
      </c>
      <c r="D288" s="3" t="s">
        <v>25</v>
      </c>
      <c r="E288" s="5">
        <v>46240.66875</v>
      </c>
      <c r="F288" s="3" t="s">
        <v>869</v>
      </c>
      <c r="G288" s="3" t="s">
        <v>1231</v>
      </c>
      <c r="H288" s="3" t="s">
        <v>1230</v>
      </c>
      <c r="I288" s="9" t="s">
        <v>1470</v>
      </c>
      <c r="J288" s="10">
        <v>3.0032026E7</v>
      </c>
      <c r="K288" s="10">
        <v>3.0012026E7</v>
      </c>
      <c r="L288" s="3" t="s">
        <v>35</v>
      </c>
      <c r="M288" s="3" t="s">
        <v>36</v>
      </c>
      <c r="N288" s="11">
        <v>865.0</v>
      </c>
      <c r="O288" s="3" t="s">
        <v>37</v>
      </c>
    </row>
    <row r="289">
      <c r="A289" s="3" t="s">
        <v>1472</v>
      </c>
      <c r="B289" s="3" t="s">
        <v>22</v>
      </c>
      <c r="C289" s="3" t="s">
        <v>23</v>
      </c>
      <c r="D289" s="3" t="s">
        <v>25</v>
      </c>
      <c r="E289" s="5">
        <v>46240.66875</v>
      </c>
      <c r="F289" s="3" t="s">
        <v>869</v>
      </c>
      <c r="G289" s="3" t="s">
        <v>1474</v>
      </c>
      <c r="H289" s="3" t="s">
        <v>1475</v>
      </c>
      <c r="I289" s="9" t="s">
        <v>1476</v>
      </c>
      <c r="J289" s="10">
        <v>3.0012026E7</v>
      </c>
      <c r="K289" s="10">
        <v>3.0012026E7</v>
      </c>
      <c r="L289" s="3" t="s">
        <v>35</v>
      </c>
      <c r="M289" s="3" t="s">
        <v>36</v>
      </c>
      <c r="N289" s="11">
        <v>865.0</v>
      </c>
      <c r="O289" s="3" t="s">
        <v>37</v>
      </c>
    </row>
    <row r="290">
      <c r="A290" s="22" t="s">
        <v>169</v>
      </c>
      <c r="B290" s="3" t="s">
        <v>22</v>
      </c>
      <c r="C290" s="3" t="s">
        <v>23</v>
      </c>
      <c r="D290" s="3" t="s">
        <v>1478</v>
      </c>
      <c r="E290" s="29"/>
      <c r="F290" s="3" t="s">
        <v>869</v>
      </c>
      <c r="G290" s="3" t="s">
        <v>1479</v>
      </c>
      <c r="H290" s="3" t="s">
        <v>171</v>
      </c>
      <c r="I290" s="29"/>
      <c r="J290" s="31">
        <v>46212.407685185186</v>
      </c>
      <c r="K290" s="31">
        <v>46212.407685185186</v>
      </c>
      <c r="L290" s="3" t="s">
        <v>1481</v>
      </c>
      <c r="M290" s="3" t="s">
        <v>36</v>
      </c>
      <c r="N290" s="29"/>
      <c r="O290" s="3" t="s">
        <v>869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</hyperlinks>
  <drawing r:id="rId289"/>
</worksheet>
</file>